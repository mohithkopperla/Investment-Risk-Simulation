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nt\Downloads\"/>
    </mc:Choice>
  </mc:AlternateContent>
  <xr:revisionPtr revIDLastSave="0" documentId="13_ncr:1_{DA84D385-7837-458E-83B6-961E795C51B6}" xr6:coauthVersionLast="47" xr6:coauthVersionMax="47" xr10:uidLastSave="{00000000-0000-0000-0000-000000000000}"/>
  <bookViews>
    <workbookView xWindow="-108" yWindow="-108" windowWidth="23256" windowHeight="13176" xr2:uid="{A2D6D710-243C-4E70-8521-DE0DB5E1FA8F}"/>
  </bookViews>
  <sheets>
    <sheet name="Investment Apprisal" sheetId="1" r:id="rId1"/>
    <sheet name="Normal Distribution " sheetId="8" r:id="rId2"/>
    <sheet name="Data" sheetId="3" state="hidden" r:id="rId3"/>
    <sheet name="Cleaned Data" sheetId="4" state="hidden" r:id="rId4"/>
  </sheets>
  <definedNames>
    <definedName name="_xlchart.v1.0" hidden="1">'Investment Apprisal'!$C$18:$C$1018</definedName>
    <definedName name="_xlnm.Print_Area" localSheetId="0">'Investment Apprisal'!$F$7:$R$35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0" i="1"/>
  <c r="I10" i="8"/>
  <c r="J15" i="8" s="1"/>
  <c r="H21" i="1"/>
  <c r="H29" i="1" l="1"/>
  <c r="H28" i="1"/>
  <c r="H27" i="1"/>
  <c r="H26" i="1"/>
  <c r="H25" i="1"/>
  <c r="H24" i="1"/>
  <c r="H19" i="1"/>
  <c r="H32" i="1" l="1"/>
  <c r="D18" i="1" s="1"/>
  <c r="H31" i="1"/>
  <c r="C18" i="1" s="1"/>
  <c r="L10" i="1" l="1"/>
  <c r="M14" i="1"/>
  <c r="M10" i="1"/>
  <c r="L15" i="1"/>
  <c r="L11" i="1"/>
  <c r="L12" i="1"/>
  <c r="M11" i="1"/>
  <c r="L14" i="1"/>
  <c r="L13" i="1"/>
  <c r="M13" i="1"/>
  <c r="M16" i="1"/>
  <c r="L16" i="1"/>
  <c r="M15" i="1"/>
  <c r="M12" i="1"/>
</calcChain>
</file>

<file path=xl/sharedStrings.xml><?xml version="1.0" encoding="utf-8"?>
<sst xmlns="http://schemas.openxmlformats.org/spreadsheetml/2006/main" count="85" uniqueCount="77">
  <si>
    <t>Project Detail</t>
  </si>
  <si>
    <t>WACC</t>
  </si>
  <si>
    <t>Life of Project</t>
  </si>
  <si>
    <t>Probability Distribution</t>
  </si>
  <si>
    <t>Normal</t>
  </si>
  <si>
    <t>Statistic</t>
  </si>
  <si>
    <t>NPV</t>
  </si>
  <si>
    <t>IRR</t>
  </si>
  <si>
    <t>Mean</t>
  </si>
  <si>
    <t>Median</t>
  </si>
  <si>
    <t>Maximum</t>
  </si>
  <si>
    <t>Minimum</t>
  </si>
  <si>
    <t>Risk of Loss</t>
  </si>
  <si>
    <t>Skewness</t>
  </si>
  <si>
    <t>Kurtosis</t>
  </si>
  <si>
    <t>Intial Investment ('000)</t>
  </si>
  <si>
    <t>Cashflow (Mean) ('000)</t>
  </si>
  <si>
    <t>Year</t>
  </si>
  <si>
    <t>NCF</t>
  </si>
  <si>
    <t>Replication</t>
  </si>
  <si>
    <t>SSE PLC</t>
  </si>
  <si>
    <t>ROCE</t>
  </si>
  <si>
    <t>ROSF</t>
  </si>
  <si>
    <t>RTA</t>
  </si>
  <si>
    <t>NATIONAL GRID PLC</t>
  </si>
  <si>
    <t>CENTRICA PLC</t>
  </si>
  <si>
    <t>DRAX GROUP PLC</t>
  </si>
  <si>
    <t>COMPANY</t>
  </si>
  <si>
    <t xml:space="preserve"> YEAR</t>
  </si>
  <si>
    <t>PROFIT MARGIN</t>
  </si>
  <si>
    <t>GEARING</t>
  </si>
  <si>
    <t>ROCE OF NATIONAL GRID PLC</t>
  </si>
  <si>
    <t>ROCE OF SSE PLC</t>
  </si>
  <si>
    <t>ROCE OF CENTRICA PLC</t>
  </si>
  <si>
    <t>ROCE DRAX GROUP PLC</t>
  </si>
  <si>
    <t>YEAR</t>
  </si>
  <si>
    <t>Source:Extracted from FAME(2025) (Online Data base), Accessed on 24/06/2025</t>
  </si>
  <si>
    <t>Project Standard Deviation (30%)- 168*30% = Aprox 50</t>
  </si>
  <si>
    <t>Bin Midpoint (NPV)</t>
  </si>
  <si>
    <t>Frequency</t>
  </si>
  <si>
    <t>Bin Range (NPV'000)</t>
  </si>
  <si>
    <t>95.84-139.78</t>
  </si>
  <si>
    <t>139.78-183.72</t>
  </si>
  <si>
    <t>183.72-227.66</t>
  </si>
  <si>
    <t>227.66-271.60</t>
  </si>
  <si>
    <t>271.60-315.54</t>
  </si>
  <si>
    <t>315.54-359.48</t>
  </si>
  <si>
    <t>359.48-403.42</t>
  </si>
  <si>
    <t>403.42-447.36</t>
  </si>
  <si>
    <t>447.36-491.30</t>
  </si>
  <si>
    <t>491.30-535.24</t>
  </si>
  <si>
    <t>535.24-579.18</t>
  </si>
  <si>
    <t>579.18-623.12</t>
  </si>
  <si>
    <t>623.12-667.06</t>
  </si>
  <si>
    <t>667.06-711.00</t>
  </si>
  <si>
    <t>711.00-754.94</t>
  </si>
  <si>
    <t>754.94-798.88</t>
  </si>
  <si>
    <t>Minimum NPV</t>
  </si>
  <si>
    <t>"000</t>
  </si>
  <si>
    <t>Maximum NPV</t>
  </si>
  <si>
    <t>Mean NPV</t>
  </si>
  <si>
    <t>Standard Deviation</t>
  </si>
  <si>
    <t>Distribution Type</t>
  </si>
  <si>
    <t>Estimate Bin Width</t>
  </si>
  <si>
    <t>Number of Bins</t>
  </si>
  <si>
    <t>No of Bin</t>
  </si>
  <si>
    <t>Bin Width =</t>
  </si>
  <si>
    <t>Max NPV- Max NPV</t>
  </si>
  <si>
    <t>Bin Range Calculation</t>
  </si>
  <si>
    <t>Min NPV+ Bin Width</t>
  </si>
  <si>
    <t>95.84+43.69</t>
  </si>
  <si>
    <t>=</t>
  </si>
  <si>
    <t>Note:-</t>
  </si>
  <si>
    <t>Frequnceis Calculated based of approximated Height of each bar in Normal Distribution Diagram</t>
  </si>
  <si>
    <t>NPV Bell Curve Workings and Findings</t>
  </si>
  <si>
    <t>Appendix 1</t>
  </si>
  <si>
    <t>Investment Apprisal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</si>
</sst>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.00"/>
    <numFmt numFmtId="166" formatCode="_-[$£-809]* #,##0.00_-;\-[$£-809]* #,##0.00_-;_-[$£-809]* &quot;-&quot;??_-;_-@_-"/>
    <numFmt numFmtId="167" formatCode="_-[$£-809]* #,##0_-;\-[$£-809]* #,##0_-;_-[$£-809]* &quot;-&quot;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3"/>
      <color theme="1"/>
      <name val="Calibri"/>
      <family val="2"/>
    </font>
    <font>
      <sz val="13"/>
      <color rgb="FFFFFF00"/>
      <name val="Calibri"/>
      <family val="2"/>
    </font>
    <font>
      <sz val="13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0"/>
      <color rgb="FF333333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u/>
      <sz val="1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785A8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119">
    <xf numFmtId="0" fontId="0" fillId="0" borderId="0" xfId="0"/>
    <xf numFmtId="0" fontId="2" fillId="0" borderId="1" xfId="0" applyFont="1" applyBorder="1"/>
    <xf numFmtId="166" fontId="2" fillId="0" borderId="1" xfId="0" applyNumberFormat="1" applyFont="1" applyBorder="1"/>
    <xf numFmtId="10" fontId="2" fillId="0" borderId="0" xfId="1" applyNumberFormat="1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2" fontId="2" fillId="0" borderId="3" xfId="0" applyNumberFormat="1" applyFont="1" applyBorder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6" fontId="2" fillId="0" borderId="3" xfId="0" applyNumberFormat="1" applyFont="1" applyBorder="1"/>
    <xf numFmtId="9" fontId="2" fillId="0" borderId="1" xfId="0" applyNumberFormat="1" applyFont="1" applyBorder="1"/>
    <xf numFmtId="165" fontId="2" fillId="0" borderId="0" xfId="0" applyNumberFormat="1" applyFont="1"/>
    <xf numFmtId="9" fontId="2" fillId="0" borderId="0" xfId="0" applyNumberFormat="1" applyFont="1"/>
    <xf numFmtId="0" fontId="2" fillId="0" borderId="0" xfId="0" applyFont="1"/>
    <xf numFmtId="9" fontId="2" fillId="0" borderId="3" xfId="0" applyNumberFormat="1" applyFont="1" applyBorder="1"/>
    <xf numFmtId="166" fontId="2" fillId="0" borderId="0" xfId="0" applyNumberFormat="1" applyFont="1"/>
    <xf numFmtId="2" fontId="2" fillId="0" borderId="0" xfId="0" applyNumberFormat="1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/>
    </xf>
    <xf numFmtId="0" fontId="5" fillId="0" borderId="0" xfId="0" applyFont="1"/>
    <xf numFmtId="0" fontId="3" fillId="2" borderId="0" xfId="0" applyFont="1" applyFill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2" fillId="0" borderId="0" xfId="0" applyNumberFormat="1" applyFont="1"/>
    <xf numFmtId="167" fontId="2" fillId="0" borderId="1" xfId="0" applyNumberFormat="1" applyFont="1" applyBorder="1"/>
    <xf numFmtId="167" fontId="2" fillId="0" borderId="0" xfId="0" applyNumberFormat="1" applyFont="1"/>
    <xf numFmtId="0" fontId="9" fillId="0" borderId="0" xfId="0" applyFont="1"/>
    <xf numFmtId="0" fontId="3" fillId="8" borderId="1" xfId="0" applyFont="1" applyFill="1" applyBorder="1" applyAlignment="1">
      <alignment wrapText="1"/>
    </xf>
    <xf numFmtId="14" fontId="11" fillId="8" borderId="1" xfId="0" applyNumberFormat="1" applyFont="1" applyFill="1" applyBorder="1" applyAlignment="1">
      <alignment horizontal="center" vertical="top"/>
    </xf>
    <xf numFmtId="14" fontId="11" fillId="8" borderId="0" xfId="0" applyNumberFormat="1" applyFont="1" applyFill="1" applyAlignment="1">
      <alignment horizontal="center" vertical="top"/>
    </xf>
    <xf numFmtId="14" fontId="11" fillId="8" borderId="3" xfId="0" applyNumberFormat="1" applyFont="1" applyFill="1" applyBorder="1" applyAlignment="1">
      <alignment horizontal="center" vertical="top"/>
    </xf>
    <xf numFmtId="4" fontId="11" fillId="3" borderId="1" xfId="0" applyNumberFormat="1" applyFont="1" applyFill="1" applyBorder="1" applyAlignment="1">
      <alignment horizontal="center" vertical="center"/>
    </xf>
    <xf numFmtId="4" fontId="11" fillId="5" borderId="1" xfId="2" applyNumberFormat="1" applyFont="1" applyFill="1" applyBorder="1" applyAlignment="1">
      <alignment horizontal="center" vertical="center"/>
    </xf>
    <xf numFmtId="4" fontId="11" fillId="6" borderId="1" xfId="0" applyNumberFormat="1" applyFont="1" applyFill="1" applyBorder="1" applyAlignment="1">
      <alignment horizontal="center" vertical="center"/>
    </xf>
    <xf numFmtId="4" fontId="11" fillId="7" borderId="1" xfId="0" applyNumberFormat="1" applyFont="1" applyFill="1" applyBorder="1" applyAlignment="1">
      <alignment horizontal="center" vertical="center"/>
    </xf>
    <xf numFmtId="4" fontId="11" fillId="3" borderId="0" xfId="0" applyNumberFormat="1" applyFont="1" applyFill="1" applyAlignment="1">
      <alignment horizontal="center" vertical="center"/>
    </xf>
    <xf numFmtId="4" fontId="11" fillId="5" borderId="0" xfId="2" applyNumberFormat="1" applyFont="1" applyFill="1" applyAlignment="1">
      <alignment horizontal="center" vertical="center"/>
    </xf>
    <xf numFmtId="4" fontId="11" fillId="6" borderId="0" xfId="0" applyNumberFormat="1" applyFont="1" applyFill="1" applyAlignment="1">
      <alignment horizontal="center" vertical="center"/>
    </xf>
    <xf numFmtId="4" fontId="11" fillId="7" borderId="0" xfId="0" applyNumberFormat="1" applyFont="1" applyFill="1" applyAlignment="1">
      <alignment horizontal="center" vertical="center"/>
    </xf>
    <xf numFmtId="4" fontId="11" fillId="3" borderId="3" xfId="0" applyNumberFormat="1" applyFont="1" applyFill="1" applyBorder="1" applyAlignment="1">
      <alignment horizontal="center" vertical="center"/>
    </xf>
    <xf numFmtId="4" fontId="11" fillId="5" borderId="3" xfId="0" applyNumberFormat="1" applyFont="1" applyFill="1" applyBorder="1" applyAlignment="1">
      <alignment horizontal="center" vertical="center"/>
    </xf>
    <xf numFmtId="4" fontId="11" fillId="6" borderId="3" xfId="0" applyNumberFormat="1" applyFont="1" applyFill="1" applyBorder="1" applyAlignment="1">
      <alignment horizontal="center" vertical="center"/>
    </xf>
    <xf numFmtId="4" fontId="11" fillId="7" borderId="3" xfId="0" applyNumberFormat="1" applyFont="1" applyFill="1" applyBorder="1" applyAlignment="1">
      <alignment horizontal="center" vertical="center"/>
    </xf>
    <xf numFmtId="0" fontId="9" fillId="8" borderId="0" xfId="0" applyFont="1" applyFill="1"/>
    <xf numFmtId="14" fontId="7" fillId="4" borderId="0" xfId="0" applyNumberFormat="1" applyFont="1" applyFill="1" applyAlignment="1">
      <alignment horizontal="right" vertical="top"/>
    </xf>
    <xf numFmtId="14" fontId="7" fillId="5" borderId="0" xfId="0" applyNumberFormat="1" applyFont="1" applyFill="1" applyAlignment="1">
      <alignment horizontal="right" vertical="top"/>
    </xf>
    <xf numFmtId="14" fontId="7" fillId="6" borderId="0" xfId="0" applyNumberFormat="1" applyFont="1" applyFill="1" applyAlignment="1">
      <alignment horizontal="right" vertical="top"/>
    </xf>
    <xf numFmtId="14" fontId="7" fillId="7" borderId="0" xfId="0" applyNumberFormat="1" applyFont="1" applyFill="1" applyAlignment="1">
      <alignment horizontal="right" vertical="top"/>
    </xf>
    <xf numFmtId="14" fontId="7" fillId="4" borderId="1" xfId="0" applyNumberFormat="1" applyFont="1" applyFill="1" applyBorder="1" applyAlignment="1">
      <alignment horizontal="right" vertical="top"/>
    </xf>
    <xf numFmtId="0" fontId="9" fillId="8" borderId="1" xfId="0" applyFont="1" applyFill="1" applyBorder="1"/>
    <xf numFmtId="0" fontId="9" fillId="8" borderId="1" xfId="0" applyFont="1" applyFill="1" applyBorder="1" applyAlignment="1">
      <alignment wrapText="1"/>
    </xf>
    <xf numFmtId="14" fontId="7" fillId="7" borderId="3" xfId="0" applyNumberFormat="1" applyFont="1" applyFill="1" applyBorder="1" applyAlignment="1">
      <alignment horizontal="right" vertical="top"/>
    </xf>
    <xf numFmtId="4" fontId="7" fillId="4" borderId="1" xfId="0" applyNumberFormat="1" applyFont="1" applyFill="1" applyBorder="1" applyAlignment="1">
      <alignment horizontal="center" vertical="center"/>
    </xf>
    <xf numFmtId="4" fontId="7" fillId="4" borderId="0" xfId="0" applyNumberFormat="1" applyFont="1" applyFill="1" applyAlignment="1">
      <alignment horizontal="center" vertical="center"/>
    </xf>
    <xf numFmtId="4" fontId="7" fillId="5" borderId="0" xfId="2" applyNumberFormat="1" applyFont="1" applyFill="1" applyAlignment="1">
      <alignment horizontal="center" vertical="center"/>
    </xf>
    <xf numFmtId="4" fontId="7" fillId="5" borderId="0" xfId="0" applyNumberFormat="1" applyFont="1" applyFill="1" applyAlignment="1">
      <alignment horizontal="center" vertical="center"/>
    </xf>
    <xf numFmtId="4" fontId="7" fillId="6" borderId="0" xfId="0" applyNumberFormat="1" applyFont="1" applyFill="1" applyAlignment="1">
      <alignment horizontal="center" vertical="center"/>
    </xf>
    <xf numFmtId="4" fontId="7" fillId="7" borderId="0" xfId="0" applyNumberFormat="1" applyFont="1" applyFill="1" applyAlignment="1">
      <alignment horizontal="center" vertical="center"/>
    </xf>
    <xf numFmtId="4" fontId="7" fillId="7" borderId="3" xfId="0" applyNumberFormat="1" applyFont="1" applyFill="1" applyBorder="1" applyAlignment="1">
      <alignment horizontal="center" vertical="center"/>
    </xf>
    <xf numFmtId="0" fontId="0" fillId="9" borderId="0" xfId="0" applyFill="1"/>
    <xf numFmtId="0" fontId="3" fillId="8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15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3" fillId="0" borderId="2" xfId="0" applyFont="1" applyBorder="1"/>
    <xf numFmtId="0" fontId="3" fillId="0" borderId="1" xfId="0" applyFont="1" applyBorder="1"/>
    <xf numFmtId="166" fontId="3" fillId="0" borderId="1" xfId="0" applyNumberFormat="1" applyFont="1" applyBorder="1"/>
    <xf numFmtId="9" fontId="3" fillId="0" borderId="1" xfId="0" applyNumberFormat="1" applyFont="1" applyBorder="1"/>
    <xf numFmtId="166" fontId="0" fillId="0" borderId="0" xfId="0" applyNumberFormat="1"/>
    <xf numFmtId="9" fontId="0" fillId="0" borderId="0" xfId="1" applyFont="1" applyBorder="1"/>
    <xf numFmtId="166" fontId="0" fillId="0" borderId="3" xfId="0" applyNumberFormat="1" applyBorder="1"/>
    <xf numFmtId="9" fontId="0" fillId="0" borderId="3" xfId="1" applyFont="1" applyBorder="1"/>
    <xf numFmtId="2" fontId="0" fillId="0" borderId="0" xfId="0" applyNumberFormat="1"/>
    <xf numFmtId="0" fontId="9" fillId="0" borderId="2" xfId="0" applyFont="1" applyBorder="1" applyAlignment="1">
      <alignment horizont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right"/>
    </xf>
    <xf numFmtId="0" fontId="9" fillId="0" borderId="17" xfId="0" applyFont="1" applyBorder="1"/>
    <xf numFmtId="0" fontId="9" fillId="0" borderId="19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20" xfId="0" applyFont="1" applyBorder="1"/>
    <xf numFmtId="166" fontId="6" fillId="0" borderId="0" xfId="0" applyNumberFormat="1" applyFont="1"/>
    <xf numFmtId="0" fontId="2" fillId="0" borderId="12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166" fontId="9" fillId="0" borderId="0" xfId="0" applyNumberFormat="1" applyFont="1"/>
    <xf numFmtId="0" fontId="2" fillId="0" borderId="20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3" fillId="0" borderId="1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6" fillId="6" borderId="0" xfId="0" applyFont="1" applyFill="1" applyAlignment="1">
      <alignment horizontal="center" textRotation="255"/>
    </xf>
    <xf numFmtId="0" fontId="6" fillId="5" borderId="0" xfId="0" applyFont="1" applyFill="1" applyAlignment="1">
      <alignment horizontal="center" textRotation="255"/>
    </xf>
    <xf numFmtId="0" fontId="10" fillId="4" borderId="1" xfId="0" applyFont="1" applyFill="1" applyBorder="1" applyAlignment="1">
      <alignment horizontal="center" textRotation="255" shrinkToFit="1"/>
    </xf>
    <xf numFmtId="0" fontId="10" fillId="4" borderId="0" xfId="0" applyFont="1" applyFill="1" applyAlignment="1">
      <alignment horizontal="center" textRotation="255" shrinkToFit="1"/>
    </xf>
    <xf numFmtId="0" fontId="6" fillId="7" borderId="0" xfId="0" applyFont="1" applyFill="1" applyAlignment="1">
      <alignment horizontal="center" textRotation="255"/>
    </xf>
    <xf numFmtId="0" fontId="6" fillId="7" borderId="3" xfId="0" applyFont="1" applyFill="1" applyBorder="1" applyAlignment="1">
      <alignment horizontal="center" textRotation="255"/>
    </xf>
    <xf numFmtId="0" fontId="14" fillId="0" borderId="0" xfId="0" applyFont="1" applyAlignment="1">
      <alignment horizontal="center"/>
    </xf>
  </cellXfs>
  <cellStyles count="3">
    <cellStyle name="Normal" xfId="0" builtinId="0"/>
    <cellStyle name="Normal 2" xfId="2" xr:uid="{4EA24D31-4166-44CF-A7A5-9CE50A243A06}"/>
    <cellStyle name="Percent" xfId="1" builtinId="5"/>
  </cellStyles>
  <dxfs count="0"/>
  <tableStyles count="0" defaultTableStyle="TableStyleMedium2" defaultPivotStyle="PivotStyleLight16"/>
  <colors>
    <mruColors>
      <color rgb="FFF785A8"/>
      <color rgb="FFF45687"/>
      <color rgb="FFF34379"/>
      <color rgb="FFF6AEBA"/>
      <color rgb="FFFEA6A6"/>
      <color rgb="FFF0B5B4"/>
      <color rgb="FF6D6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NPV Bell Curv With Normal Distribution Fit</a:t>
            </a:r>
          </a:p>
          <a:p>
            <a:pPr>
              <a:defRPr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X~N(420.40,50)</a:t>
            </a:r>
          </a:p>
          <a:p>
            <a:pPr>
              <a:defRPr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'Normal Distribution '!$E$12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rgbClr val="EE0000"/>
              </a:solidFill>
            </a:ln>
            <a:effectLst/>
          </c:spPr>
          <c:invertIfNegative val="0"/>
          <c:cat>
            <c:numRef>
              <c:f>'Normal Distribution '!$D$13:$D$28</c:f>
              <c:numCache>
                <c:formatCode>General</c:formatCode>
                <c:ptCount val="16"/>
                <c:pt idx="0">
                  <c:v>117.81</c:v>
                </c:pt>
                <c:pt idx="1">
                  <c:v>161.75</c:v>
                </c:pt>
                <c:pt idx="2">
                  <c:v>205.69</c:v>
                </c:pt>
                <c:pt idx="3">
                  <c:v>249.63</c:v>
                </c:pt>
                <c:pt idx="4">
                  <c:v>293.57</c:v>
                </c:pt>
                <c:pt idx="5">
                  <c:v>337.51</c:v>
                </c:pt>
                <c:pt idx="6">
                  <c:v>381.45</c:v>
                </c:pt>
                <c:pt idx="7">
                  <c:v>425.39</c:v>
                </c:pt>
                <c:pt idx="8">
                  <c:v>469.33</c:v>
                </c:pt>
                <c:pt idx="9">
                  <c:v>513.27</c:v>
                </c:pt>
                <c:pt idx="10">
                  <c:v>557.21</c:v>
                </c:pt>
                <c:pt idx="11">
                  <c:v>601.15</c:v>
                </c:pt>
                <c:pt idx="12">
                  <c:v>645.09</c:v>
                </c:pt>
                <c:pt idx="13">
                  <c:v>689.03</c:v>
                </c:pt>
                <c:pt idx="14">
                  <c:v>732.97</c:v>
                </c:pt>
                <c:pt idx="15">
                  <c:v>776.91</c:v>
                </c:pt>
              </c:numCache>
            </c:numRef>
          </c:cat>
          <c:val>
            <c:numRef>
              <c:f>'Normal Distribution '!$E$13:$E$28</c:f>
              <c:numCache>
                <c:formatCode>General</c:formatCode>
                <c:ptCount val="16"/>
                <c:pt idx="0">
                  <c:v>4</c:v>
                </c:pt>
                <c:pt idx="1">
                  <c:v>13</c:v>
                </c:pt>
                <c:pt idx="2">
                  <c:v>29</c:v>
                </c:pt>
                <c:pt idx="3">
                  <c:v>56</c:v>
                </c:pt>
                <c:pt idx="4">
                  <c:v>86</c:v>
                </c:pt>
                <c:pt idx="5">
                  <c:v>106</c:v>
                </c:pt>
                <c:pt idx="6">
                  <c:v>143</c:v>
                </c:pt>
                <c:pt idx="7">
                  <c:v>111</c:v>
                </c:pt>
                <c:pt idx="8">
                  <c:v>79</c:v>
                </c:pt>
                <c:pt idx="9">
                  <c:v>76</c:v>
                </c:pt>
                <c:pt idx="10">
                  <c:v>46</c:v>
                </c:pt>
                <c:pt idx="11">
                  <c:v>29</c:v>
                </c:pt>
                <c:pt idx="12">
                  <c:v>15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C-4EB2-87DB-2E2DD291F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127263"/>
        <c:axId val="997125823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rgbClr val="EE0000"/>
              </a:solidFill>
              <a:round/>
            </a:ln>
            <a:effectLst/>
          </c:spPr>
          <c:marker>
            <c:symbol val="none"/>
          </c:marker>
          <c:cat>
            <c:numRef>
              <c:f>'Normal Distribution '!$D$13:$D$28</c:f>
              <c:numCache>
                <c:formatCode>General</c:formatCode>
                <c:ptCount val="16"/>
                <c:pt idx="0">
                  <c:v>117.81</c:v>
                </c:pt>
                <c:pt idx="1">
                  <c:v>161.75</c:v>
                </c:pt>
                <c:pt idx="2">
                  <c:v>205.69</c:v>
                </c:pt>
                <c:pt idx="3">
                  <c:v>249.63</c:v>
                </c:pt>
                <c:pt idx="4">
                  <c:v>293.57</c:v>
                </c:pt>
                <c:pt idx="5">
                  <c:v>337.51</c:v>
                </c:pt>
                <c:pt idx="6">
                  <c:v>381.45</c:v>
                </c:pt>
                <c:pt idx="7">
                  <c:v>425.39</c:v>
                </c:pt>
                <c:pt idx="8">
                  <c:v>469.33</c:v>
                </c:pt>
                <c:pt idx="9">
                  <c:v>513.27</c:v>
                </c:pt>
                <c:pt idx="10">
                  <c:v>557.21</c:v>
                </c:pt>
                <c:pt idx="11">
                  <c:v>601.15</c:v>
                </c:pt>
                <c:pt idx="12">
                  <c:v>645.09</c:v>
                </c:pt>
                <c:pt idx="13">
                  <c:v>689.03</c:v>
                </c:pt>
                <c:pt idx="14">
                  <c:v>732.97</c:v>
                </c:pt>
                <c:pt idx="15">
                  <c:v>776.91</c:v>
                </c:pt>
              </c:numCache>
            </c:numRef>
          </c:cat>
          <c:val>
            <c:numRef>
              <c:f>'Normal Distribution '!$E$13:$E$28</c:f>
              <c:numCache>
                <c:formatCode>General</c:formatCode>
                <c:ptCount val="16"/>
                <c:pt idx="0">
                  <c:v>4</c:v>
                </c:pt>
                <c:pt idx="1">
                  <c:v>13</c:v>
                </c:pt>
                <c:pt idx="2">
                  <c:v>29</c:v>
                </c:pt>
                <c:pt idx="3">
                  <c:v>56</c:v>
                </c:pt>
                <c:pt idx="4">
                  <c:v>86</c:v>
                </c:pt>
                <c:pt idx="5">
                  <c:v>106</c:v>
                </c:pt>
                <c:pt idx="6">
                  <c:v>143</c:v>
                </c:pt>
                <c:pt idx="7">
                  <c:v>111</c:v>
                </c:pt>
                <c:pt idx="8">
                  <c:v>79</c:v>
                </c:pt>
                <c:pt idx="9">
                  <c:v>76</c:v>
                </c:pt>
                <c:pt idx="10">
                  <c:v>46</c:v>
                </c:pt>
                <c:pt idx="11">
                  <c:v>29</c:v>
                </c:pt>
                <c:pt idx="12">
                  <c:v>15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FC-4EB2-87DB-2E2DD291F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127263"/>
        <c:axId val="997125823"/>
      </c:lineChart>
      <c:catAx>
        <c:axId val="99712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NPV'000)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25823"/>
        <c:crosses val="autoZero"/>
        <c:auto val="1"/>
        <c:lblAlgn val="ctr"/>
        <c:lblOffset val="100"/>
        <c:noMultiLvlLbl val="0"/>
      </c:catAx>
      <c:valAx>
        <c:axId val="99712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2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NPV Normal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NPV Normal Distribution</a:t>
          </a:r>
        </a:p>
      </cx:txPr>
    </cx:title>
    <cx:plotArea>
      <cx:plotAreaRegion>
        <cx:series layoutId="clusteredColumn" uniqueId="{19DBAB30-BF5F-4090-8B8A-DE8E5623C6D8}">
          <cx:spPr>
            <a:solidFill>
              <a:srgbClr val="6D6DF9"/>
            </a:solidFill>
            <a:ln>
              <a:solidFill>
                <a:schemeClr val="tx1"/>
              </a:solidFill>
            </a:ln>
          </cx:spPr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  <cx:spPr>
    <a:ln w="28575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H$14" inc="5" max="220" page="10" val="95"/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899160</xdr:colOff>
          <xdr:row>13</xdr:row>
          <xdr:rowOff>7620</xdr:rowOff>
        </xdr:from>
        <xdr:to>
          <xdr:col>8</xdr:col>
          <xdr:colOff>601980</xdr:colOff>
          <xdr:row>14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9</xdr:col>
      <xdr:colOff>7620</xdr:colOff>
      <xdr:row>17</xdr:row>
      <xdr:rowOff>26670</xdr:rowOff>
    </xdr:from>
    <xdr:to>
      <xdr:col>17</xdr:col>
      <xdr:colOff>0</xdr:colOff>
      <xdr:row>32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729E3C-83F6-2BF4-EBE6-C7A081D4C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15300" y="2960370"/>
              <a:ext cx="5181600" cy="2998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121920</xdr:colOff>
      <xdr:row>6</xdr:row>
      <xdr:rowOff>167640</xdr:rowOff>
    </xdr:from>
    <xdr:to>
      <xdr:col>22</xdr:col>
      <xdr:colOff>266700</xdr:colOff>
      <xdr:row>24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3E0463-5600-F5F6-7B65-5B5572649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CE1F-5EEE-4F7A-A530-FAEEDA248B80}">
  <sheetPr>
    <pageSetUpPr fitToPage="1"/>
  </sheetPr>
  <dimension ref="B2:R1019"/>
  <sheetViews>
    <sheetView showGridLines="0" tabSelected="1" topLeftCell="A2" zoomScale="92" zoomScaleNormal="92" workbookViewId="0">
      <selection activeCell="G4" sqref="G4"/>
    </sheetView>
  </sheetViews>
  <sheetFormatPr defaultRowHeight="14.4" x14ac:dyDescent="0.3"/>
  <cols>
    <col min="2" max="2" width="16.88671875" customWidth="1"/>
    <col min="3" max="3" width="15.21875" bestFit="1" customWidth="1"/>
    <col min="7" max="7" width="28.33203125" customWidth="1"/>
    <col min="8" max="8" width="13.33203125" bestFit="1" customWidth="1"/>
    <col min="11" max="11" width="11.109375" bestFit="1" customWidth="1"/>
    <col min="12" max="12" width="11.21875" bestFit="1" customWidth="1"/>
  </cols>
  <sheetData>
    <row r="2" spans="2:18" ht="23.4" x14ac:dyDescent="0.45">
      <c r="G2" s="118" t="s">
        <v>76</v>
      </c>
      <c r="H2" s="118"/>
      <c r="I2" s="118"/>
      <c r="J2" s="118"/>
    </row>
    <row r="6" spans="2:18" ht="15" thickBot="1" x14ac:dyDescent="0.35"/>
    <row r="7" spans="2:18" x14ac:dyDescent="0.3">
      <c r="F7" s="17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2:18" x14ac:dyDescent="0.3">
      <c r="F8" s="20"/>
      <c r="R8" s="21"/>
    </row>
    <row r="9" spans="2:18" ht="17.399999999999999" x14ac:dyDescent="0.35">
      <c r="C9" s="80"/>
      <c r="D9" s="80"/>
      <c r="F9" s="20"/>
      <c r="G9" s="101" t="s">
        <v>0</v>
      </c>
      <c r="H9" s="101"/>
      <c r="I9" s="22"/>
      <c r="J9" s="23"/>
      <c r="K9" s="24" t="s">
        <v>5</v>
      </c>
      <c r="L9" s="24" t="s">
        <v>6</v>
      </c>
      <c r="M9" s="24" t="s">
        <v>7</v>
      </c>
      <c r="R9" s="21"/>
    </row>
    <row r="10" spans="2:18" ht="15.6" x14ac:dyDescent="0.3">
      <c r="C10" s="80"/>
      <c r="D10" s="80"/>
      <c r="F10" s="20"/>
      <c r="G10" s="1" t="s">
        <v>15</v>
      </c>
      <c r="H10" s="31">
        <v>-550</v>
      </c>
      <c r="I10" s="11"/>
      <c r="J10" s="13"/>
      <c r="K10" s="1" t="s">
        <v>8</v>
      </c>
      <c r="L10" s="2">
        <f ca="1">AVERAGE($C$18:$C$1018)</f>
        <v>419.53031018471864</v>
      </c>
      <c r="M10" s="10">
        <f ca="1">AVERAGE($D$18:$D$1018)</f>
        <v>0.28395163886705721</v>
      </c>
      <c r="R10" s="21"/>
    </row>
    <row r="11" spans="2:18" ht="15.6" x14ac:dyDescent="0.3">
      <c r="C11" s="84"/>
      <c r="F11" s="20"/>
      <c r="G11" s="13" t="s">
        <v>16</v>
      </c>
      <c r="H11" s="32">
        <v>168</v>
      </c>
      <c r="I11" s="11"/>
      <c r="J11" s="13"/>
      <c r="K11" s="13" t="s">
        <v>9</v>
      </c>
      <c r="L11" s="15">
        <f ca="1">MEDIAN($C$18:$C$1018)</f>
        <v>425.0252902318332</v>
      </c>
      <c r="M11" s="12">
        <f ca="1">MEDIAN($D$18:$D$1018)</f>
        <v>0.28296088551102661</v>
      </c>
      <c r="R11" s="21"/>
    </row>
    <row r="12" spans="2:18" ht="15.6" x14ac:dyDescent="0.3">
      <c r="F12" s="20"/>
      <c r="G12" s="13" t="s">
        <v>1</v>
      </c>
      <c r="H12" s="30">
        <v>0.115</v>
      </c>
      <c r="I12" s="12"/>
      <c r="J12" s="13"/>
      <c r="K12" s="13" t="s">
        <v>10</v>
      </c>
      <c r="L12" s="15">
        <f ca="1">MAX($C$18:$C$1018)</f>
        <v>930.34844928435405</v>
      </c>
      <c r="M12" s="12">
        <f ca="1">MAX($D$18:$D$1018)</f>
        <v>0.54164780149513803</v>
      </c>
      <c r="R12" s="21"/>
    </row>
    <row r="13" spans="2:18" ht="15.6" x14ac:dyDescent="0.3">
      <c r="F13" s="20"/>
      <c r="G13" s="13" t="s">
        <v>2</v>
      </c>
      <c r="H13" s="13">
        <v>10</v>
      </c>
      <c r="I13" s="13"/>
      <c r="J13" s="13"/>
      <c r="K13" s="13" t="s">
        <v>11</v>
      </c>
      <c r="L13" s="15">
        <f ca="1">MIN($C$18:$C$1018)</f>
        <v>-224.24208403834155</v>
      </c>
      <c r="M13" s="12">
        <f ca="1">MIN($D$18:$D$1018)</f>
        <v>-6.7253762808072159E-2</v>
      </c>
      <c r="R13" s="21"/>
    </row>
    <row r="14" spans="2:18" ht="27.6" customHeight="1" x14ac:dyDescent="0.3">
      <c r="B14" s="66" t="s">
        <v>75</v>
      </c>
      <c r="F14" s="20"/>
      <c r="G14" s="75" t="s">
        <v>37</v>
      </c>
      <c r="H14" s="74">
        <v>95</v>
      </c>
      <c r="I14" s="11"/>
      <c r="J14" s="13"/>
      <c r="K14" s="13" t="s">
        <v>12</v>
      </c>
      <c r="L14" s="3">
        <f ca="1">(COUNTIF($C$18:$C$1018,"&lt;0"))/1000</f>
        <v>8.9999999999999993E-3</v>
      </c>
      <c r="M14" s="3">
        <f ca="1">(COUNTIF($D$18:$D$1018,"&lt;0"))/1000</f>
        <v>1E-3</v>
      </c>
      <c r="R14" s="21"/>
    </row>
    <row r="15" spans="2:18" ht="16.2" thickBot="1" x14ac:dyDescent="0.35">
      <c r="F15" s="20"/>
      <c r="G15" s="4" t="s">
        <v>3</v>
      </c>
      <c r="H15" s="5" t="s">
        <v>4</v>
      </c>
      <c r="I15" s="25"/>
      <c r="J15" s="13"/>
      <c r="K15" s="13" t="s">
        <v>13</v>
      </c>
      <c r="L15" s="16">
        <f ca="1">SKEW($C$18:$C$1018)</f>
        <v>-3.3244985973516494E-2</v>
      </c>
      <c r="M15" s="12">
        <f ca="1">SKEW($D$18:$D$1018)</f>
        <v>0.11768317810905665</v>
      </c>
      <c r="R15" s="21"/>
    </row>
    <row r="16" spans="2:18" ht="16.8" thickTop="1" thickBot="1" x14ac:dyDescent="0.35">
      <c r="F16" s="20"/>
      <c r="G16" s="13"/>
      <c r="H16" s="13"/>
      <c r="I16" s="13"/>
      <c r="J16" s="13"/>
      <c r="K16" s="4" t="s">
        <v>14</v>
      </c>
      <c r="L16" s="6">
        <f ca="1">KURT($C$18:$C$1018)</f>
        <v>-0.1035628561973323</v>
      </c>
      <c r="M16" s="14">
        <f ca="1">KURT($D$18:$D$1018)</f>
        <v>0.39028315331464247</v>
      </c>
      <c r="R16" s="21"/>
    </row>
    <row r="17" spans="2:18" ht="18" thickTop="1" x14ac:dyDescent="0.35">
      <c r="B17" s="76"/>
      <c r="C17" s="76" t="s">
        <v>6</v>
      </c>
      <c r="D17" s="76" t="s">
        <v>7</v>
      </c>
      <c r="F17" s="20"/>
      <c r="G17" s="13"/>
      <c r="H17" s="13"/>
      <c r="I17" s="13"/>
      <c r="J17" s="13"/>
      <c r="K17" s="13"/>
      <c r="L17" s="13"/>
      <c r="M17" s="13"/>
      <c r="R17" s="21"/>
    </row>
    <row r="18" spans="2:18" ht="17.399999999999999" x14ac:dyDescent="0.35">
      <c r="B18" s="77" t="s">
        <v>19</v>
      </c>
      <c r="C18" s="78">
        <f ca="1">+H31</f>
        <v>255.85847824742507</v>
      </c>
      <c r="D18" s="79">
        <f ca="1">+H32</f>
        <v>0.19773526650281803</v>
      </c>
      <c r="F18" s="20"/>
      <c r="G18" s="8" t="s">
        <v>17</v>
      </c>
      <c r="H18" s="8" t="s">
        <v>18</v>
      </c>
      <c r="I18" s="13"/>
      <c r="J18" s="13"/>
      <c r="K18" s="13"/>
      <c r="L18" s="13"/>
      <c r="M18" s="13"/>
      <c r="R18" s="21"/>
    </row>
    <row r="19" spans="2:18" ht="15.6" x14ac:dyDescent="0.3">
      <c r="B19">
        <v>1</v>
      </c>
      <c r="C19" s="80">
        <f t="dataTable" ref="C19:D1018" dt2D="0" dtr="0" r1="E21" ca="1"/>
        <v>9.7355890497683504</v>
      </c>
      <c r="D19" s="81">
        <v>0.11903736587340075</v>
      </c>
      <c r="F19" s="20"/>
      <c r="G19" s="7">
        <v>0</v>
      </c>
      <c r="H19" s="2">
        <f>H10</f>
        <v>-550</v>
      </c>
      <c r="I19" s="13"/>
      <c r="J19" s="13"/>
      <c r="K19" s="13"/>
      <c r="L19" s="13"/>
      <c r="M19" s="13"/>
      <c r="R19" s="21"/>
    </row>
    <row r="20" spans="2:18" ht="15.6" x14ac:dyDescent="0.3">
      <c r="B20">
        <v>2</v>
      </c>
      <c r="C20" s="80">
        <v>257.26709276288898</v>
      </c>
      <c r="D20" s="81">
        <v>0.22321834347362879</v>
      </c>
      <c r="F20" s="20"/>
      <c r="G20" s="26">
        <v>1</v>
      </c>
      <c r="H20" s="15">
        <f ca="1">_xlfn.NORM.INV(RAND(),$H$11,$H$14)</f>
        <v>33.354199360340118</v>
      </c>
      <c r="I20" s="13"/>
      <c r="J20" s="13"/>
      <c r="K20" s="13"/>
      <c r="L20" s="13"/>
      <c r="M20" s="13"/>
      <c r="R20" s="21"/>
    </row>
    <row r="21" spans="2:18" ht="15.6" x14ac:dyDescent="0.3">
      <c r="B21">
        <v>3</v>
      </c>
      <c r="C21" s="80">
        <v>607.84679130903328</v>
      </c>
      <c r="D21" s="81">
        <v>0.36308349911620796</v>
      </c>
      <c r="F21" s="20"/>
      <c r="G21" s="26">
        <v>2</v>
      </c>
      <c r="H21" s="15">
        <f ca="1">_xlfn.NORM.INV(RAND(),$H$11,$H$14)</f>
        <v>120.97226145837345</v>
      </c>
      <c r="I21" s="13"/>
      <c r="J21" s="13"/>
      <c r="K21" s="13"/>
      <c r="L21" s="13"/>
      <c r="M21" s="13"/>
      <c r="R21" s="21"/>
    </row>
    <row r="22" spans="2:18" ht="15.6" x14ac:dyDescent="0.3">
      <c r="B22">
        <v>4</v>
      </c>
      <c r="C22" s="80">
        <v>575.90648107548327</v>
      </c>
      <c r="D22" s="81">
        <v>0.40304709667478122</v>
      </c>
      <c r="F22" s="20"/>
      <c r="G22" s="26">
        <v>3</v>
      </c>
      <c r="H22" s="15">
        <f ca="1">_xlfn.NORM.INV(RAND(),$H$11,$H$14)</f>
        <v>79.566857276429616</v>
      </c>
      <c r="I22" s="13"/>
      <c r="J22" s="13"/>
      <c r="K22" s="13"/>
      <c r="L22" s="13"/>
      <c r="M22" s="13"/>
      <c r="R22" s="21"/>
    </row>
    <row r="23" spans="2:18" ht="15.6" x14ac:dyDescent="0.3">
      <c r="B23">
        <v>5</v>
      </c>
      <c r="C23" s="80">
        <v>343.36438472345708</v>
      </c>
      <c r="D23" s="81">
        <v>0.24650894813549584</v>
      </c>
      <c r="F23" s="20"/>
      <c r="G23" s="26">
        <v>4</v>
      </c>
      <c r="H23" s="15">
        <f ca="1">_xlfn.NORM.INV(RAND(),$H$11,$H$14)</f>
        <v>191.98010436571869</v>
      </c>
      <c r="I23" s="13"/>
      <c r="J23" s="13"/>
      <c r="K23" s="13"/>
      <c r="L23" s="13"/>
      <c r="M23" s="13"/>
      <c r="R23" s="21"/>
    </row>
    <row r="24" spans="2:18" ht="15.6" x14ac:dyDescent="0.3">
      <c r="B24">
        <v>6</v>
      </c>
      <c r="C24" s="80">
        <v>245.63437646659918</v>
      </c>
      <c r="D24" s="81">
        <v>0.20645436428362851</v>
      </c>
      <c r="F24" s="20"/>
      <c r="G24" s="26">
        <v>5</v>
      </c>
      <c r="H24" s="15">
        <f t="shared" ref="H24:H29" ca="1" si="0">_xlfn.NORM.INV(RAND(),$H$11,$H$14)</f>
        <v>136.71815249510306</v>
      </c>
      <c r="I24" s="13"/>
      <c r="J24" s="13"/>
      <c r="K24" s="13"/>
      <c r="L24" s="13"/>
      <c r="M24" s="13"/>
      <c r="R24" s="21"/>
    </row>
    <row r="25" spans="2:18" ht="15.6" x14ac:dyDescent="0.3">
      <c r="B25">
        <v>7</v>
      </c>
      <c r="C25" s="80">
        <v>428.23907426985261</v>
      </c>
      <c r="D25" s="81">
        <v>0.27701596997889766</v>
      </c>
      <c r="F25" s="20"/>
      <c r="G25" s="26">
        <v>6</v>
      </c>
      <c r="H25" s="15">
        <f t="shared" ca="1" si="0"/>
        <v>194.2318262686999</v>
      </c>
      <c r="I25" s="13"/>
      <c r="J25" s="13"/>
      <c r="K25" s="13"/>
      <c r="L25" s="13"/>
      <c r="M25" s="13"/>
      <c r="R25" s="21"/>
    </row>
    <row r="26" spans="2:18" ht="15.6" x14ac:dyDescent="0.3">
      <c r="B26">
        <v>8</v>
      </c>
      <c r="C26" s="80">
        <v>328.2129775839868</v>
      </c>
      <c r="D26" s="81">
        <v>0.24603848235191172</v>
      </c>
      <c r="F26" s="20"/>
      <c r="G26" s="26">
        <v>7</v>
      </c>
      <c r="H26" s="15">
        <f t="shared" ca="1" si="0"/>
        <v>244.71135435757151</v>
      </c>
      <c r="I26" s="13"/>
      <c r="J26" s="13"/>
      <c r="K26" s="13"/>
      <c r="L26" s="13"/>
      <c r="M26" s="13"/>
      <c r="R26" s="21"/>
    </row>
    <row r="27" spans="2:18" ht="15.6" x14ac:dyDescent="0.3">
      <c r="B27">
        <v>9</v>
      </c>
      <c r="C27" s="80">
        <v>221.96746535045122</v>
      </c>
      <c r="D27" s="81">
        <v>0.19209530170112266</v>
      </c>
      <c r="F27" s="20"/>
      <c r="G27" s="26">
        <v>8</v>
      </c>
      <c r="H27" s="15">
        <f t="shared" ca="1" si="0"/>
        <v>188.38176831409046</v>
      </c>
      <c r="I27" s="13"/>
      <c r="J27" s="13"/>
      <c r="K27" s="13"/>
      <c r="L27" s="13"/>
      <c r="M27" s="13"/>
      <c r="R27" s="21"/>
    </row>
    <row r="28" spans="2:18" ht="15.6" x14ac:dyDescent="0.3">
      <c r="B28">
        <v>10</v>
      </c>
      <c r="C28" s="80">
        <v>421.24904987266427</v>
      </c>
      <c r="D28" s="81">
        <v>0.28592240930739732</v>
      </c>
      <c r="F28" s="20"/>
      <c r="G28" s="26">
        <v>9</v>
      </c>
      <c r="H28" s="15">
        <f t="shared" ca="1" si="0"/>
        <v>213.5352582023728</v>
      </c>
      <c r="I28" s="13"/>
      <c r="J28" s="13"/>
      <c r="K28" s="13"/>
      <c r="L28" s="13"/>
      <c r="M28" s="13"/>
      <c r="R28" s="21"/>
    </row>
    <row r="29" spans="2:18" ht="15.6" x14ac:dyDescent="0.3">
      <c r="B29">
        <v>11</v>
      </c>
      <c r="C29" s="80">
        <v>237.55945146664919</v>
      </c>
      <c r="D29" s="81">
        <v>0.22632952781931848</v>
      </c>
      <c r="F29" s="20"/>
      <c r="G29" s="26">
        <v>10</v>
      </c>
      <c r="H29" s="15">
        <f t="shared" ca="1" si="0"/>
        <v>128.82116278049827</v>
      </c>
      <c r="I29" s="13"/>
      <c r="J29" s="13"/>
      <c r="K29" s="13"/>
      <c r="L29" s="13"/>
      <c r="M29" s="13"/>
      <c r="R29" s="21"/>
    </row>
    <row r="30" spans="2:18" ht="16.2" thickBot="1" x14ac:dyDescent="0.35">
      <c r="B30">
        <v>12</v>
      </c>
      <c r="C30" s="80">
        <v>602.45922640406707</v>
      </c>
      <c r="D30" s="81">
        <v>0.3162898841526145</v>
      </c>
      <c r="F30" s="20"/>
      <c r="G30" s="4"/>
      <c r="H30" s="9"/>
      <c r="I30" s="13"/>
      <c r="J30" s="13"/>
      <c r="K30" s="13"/>
      <c r="L30" s="13"/>
      <c r="M30" s="13"/>
      <c r="R30" s="21"/>
    </row>
    <row r="31" spans="2:18" ht="16.2" thickTop="1" x14ac:dyDescent="0.3">
      <c r="B31">
        <v>13</v>
      </c>
      <c r="C31" s="80">
        <v>527.69152905968303</v>
      </c>
      <c r="D31" s="81">
        <v>0.31966948536735917</v>
      </c>
      <c r="F31" s="20"/>
      <c r="G31" s="26" t="s">
        <v>6</v>
      </c>
      <c r="H31" s="15">
        <f ca="1">$H$19+NPV($H$12,$H$20:H29)</f>
        <v>255.85847824742507</v>
      </c>
      <c r="I31" s="13"/>
      <c r="J31" s="13"/>
      <c r="K31" s="13"/>
      <c r="L31" s="13"/>
      <c r="M31" s="13"/>
      <c r="R31" s="21"/>
    </row>
    <row r="32" spans="2:18" ht="15.6" x14ac:dyDescent="0.3">
      <c r="B32">
        <v>14</v>
      </c>
      <c r="C32" s="80">
        <v>930.34844928435405</v>
      </c>
      <c r="D32" s="81">
        <v>0.54164780149513803</v>
      </c>
      <c r="F32" s="20"/>
      <c r="G32" s="26" t="s">
        <v>7</v>
      </c>
      <c r="H32" s="12">
        <f ca="1">IRR(H19:H29)</f>
        <v>0.19773526650281803</v>
      </c>
      <c r="I32" s="13"/>
      <c r="J32" s="13"/>
      <c r="K32" s="13"/>
      <c r="L32" s="13"/>
      <c r="M32" s="13"/>
      <c r="R32" s="21"/>
    </row>
    <row r="33" spans="2:18" x14ac:dyDescent="0.3">
      <c r="B33">
        <v>15</v>
      </c>
      <c r="C33" s="80">
        <v>686.08466060198316</v>
      </c>
      <c r="D33" s="81">
        <v>0.41957789184021288</v>
      </c>
      <c r="F33" s="20"/>
      <c r="R33" s="21"/>
    </row>
    <row r="34" spans="2:18" x14ac:dyDescent="0.3">
      <c r="B34">
        <v>16</v>
      </c>
      <c r="C34" s="80">
        <v>182.67650685738431</v>
      </c>
      <c r="D34" s="81">
        <v>0.18521532438387989</v>
      </c>
      <c r="F34" s="20"/>
      <c r="R34" s="21"/>
    </row>
    <row r="35" spans="2:18" ht="15" thickBot="1" x14ac:dyDescent="0.35">
      <c r="B35">
        <v>17</v>
      </c>
      <c r="C35" s="80">
        <v>421.07191754722965</v>
      </c>
      <c r="D35" s="81">
        <v>0.29930445289311169</v>
      </c>
      <c r="F35" s="2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9"/>
    </row>
    <row r="36" spans="2:18" x14ac:dyDescent="0.3">
      <c r="B36">
        <v>18</v>
      </c>
      <c r="C36" s="80">
        <v>369.32376194549784</v>
      </c>
      <c r="D36" s="81">
        <v>0.26920427139374081</v>
      </c>
    </row>
    <row r="37" spans="2:18" x14ac:dyDescent="0.3">
      <c r="B37">
        <v>19</v>
      </c>
      <c r="C37" s="80">
        <v>375.85013600555612</v>
      </c>
      <c r="D37" s="81">
        <v>0.28109765244919749</v>
      </c>
    </row>
    <row r="38" spans="2:18" x14ac:dyDescent="0.3">
      <c r="B38">
        <v>20</v>
      </c>
      <c r="C38" s="80">
        <v>654.43263874241848</v>
      </c>
      <c r="D38" s="81">
        <v>0.45622464023039289</v>
      </c>
    </row>
    <row r="39" spans="2:18" x14ac:dyDescent="0.3">
      <c r="B39">
        <v>21</v>
      </c>
      <c r="C39" s="80">
        <v>116.35115940001435</v>
      </c>
      <c r="D39" s="81">
        <v>0.15171023115702686</v>
      </c>
    </row>
    <row r="40" spans="2:18" x14ac:dyDescent="0.3">
      <c r="B40">
        <v>22</v>
      </c>
      <c r="C40" s="80">
        <v>470.70023191948064</v>
      </c>
      <c r="D40" s="81">
        <v>0.28024543837451144</v>
      </c>
    </row>
    <row r="41" spans="2:18" x14ac:dyDescent="0.3">
      <c r="B41">
        <v>23</v>
      </c>
      <c r="C41" s="80">
        <v>258.07694947995253</v>
      </c>
      <c r="D41" s="81">
        <v>0.21104613700921204</v>
      </c>
    </row>
    <row r="42" spans="2:18" x14ac:dyDescent="0.3">
      <c r="B42">
        <v>24</v>
      </c>
      <c r="C42" s="80">
        <v>234.18200159051321</v>
      </c>
      <c r="D42" s="81">
        <v>0.25685157411442927</v>
      </c>
    </row>
    <row r="43" spans="2:18" x14ac:dyDescent="0.3">
      <c r="B43">
        <v>25</v>
      </c>
      <c r="C43" s="80">
        <v>98.110195312710403</v>
      </c>
      <c r="D43" s="81">
        <v>0.16252039390530171</v>
      </c>
    </row>
    <row r="44" spans="2:18" x14ac:dyDescent="0.3">
      <c r="B44">
        <v>26</v>
      </c>
      <c r="C44" s="80">
        <v>736.90774502955469</v>
      </c>
      <c r="D44" s="81">
        <v>0.45294872688028609</v>
      </c>
    </row>
    <row r="45" spans="2:18" x14ac:dyDescent="0.3">
      <c r="B45">
        <v>27</v>
      </c>
      <c r="C45" s="80">
        <v>653.32880177741663</v>
      </c>
      <c r="D45" s="81">
        <v>0.33860368834984267</v>
      </c>
    </row>
    <row r="46" spans="2:18" x14ac:dyDescent="0.3">
      <c r="B46">
        <v>28</v>
      </c>
      <c r="C46" s="80">
        <v>603.32654895945871</v>
      </c>
      <c r="D46" s="81">
        <v>0.31902924072976657</v>
      </c>
    </row>
    <row r="47" spans="2:18" x14ac:dyDescent="0.3">
      <c r="B47">
        <v>29</v>
      </c>
      <c r="C47" s="80">
        <v>285.38873616066746</v>
      </c>
      <c r="D47" s="81">
        <v>0.22128149757526216</v>
      </c>
    </row>
    <row r="48" spans="2:18" x14ac:dyDescent="0.3">
      <c r="B48">
        <v>30</v>
      </c>
      <c r="C48" s="80">
        <v>274.39682802471259</v>
      </c>
      <c r="D48" s="81">
        <v>0.25403442952418986</v>
      </c>
    </row>
    <row r="49" spans="2:4" x14ac:dyDescent="0.3">
      <c r="B49">
        <v>31</v>
      </c>
      <c r="C49" s="80">
        <v>737.94191195841518</v>
      </c>
      <c r="D49" s="81">
        <v>0.39573710381206939</v>
      </c>
    </row>
    <row r="50" spans="2:4" x14ac:dyDescent="0.3">
      <c r="B50">
        <v>32</v>
      </c>
      <c r="C50" s="80">
        <v>401.14472024136171</v>
      </c>
      <c r="D50" s="81">
        <v>0.29717616299152838</v>
      </c>
    </row>
    <row r="51" spans="2:4" x14ac:dyDescent="0.3">
      <c r="B51">
        <v>33</v>
      </c>
      <c r="C51" s="80">
        <v>268.29044502474142</v>
      </c>
      <c r="D51" s="81">
        <v>0.21080324412027274</v>
      </c>
    </row>
    <row r="52" spans="2:4" x14ac:dyDescent="0.3">
      <c r="B52">
        <v>34</v>
      </c>
      <c r="C52" s="80">
        <v>344.8054116964845</v>
      </c>
      <c r="D52" s="81">
        <v>0.29523297481268007</v>
      </c>
    </row>
    <row r="53" spans="2:4" x14ac:dyDescent="0.3">
      <c r="B53">
        <v>35</v>
      </c>
      <c r="C53" s="80">
        <v>491.93921484079056</v>
      </c>
      <c r="D53" s="81">
        <v>0.26644500242047897</v>
      </c>
    </row>
    <row r="54" spans="2:4" x14ac:dyDescent="0.3">
      <c r="B54">
        <v>36</v>
      </c>
      <c r="C54" s="80">
        <v>552.17853257572528</v>
      </c>
      <c r="D54" s="81">
        <v>0.37372302223058296</v>
      </c>
    </row>
    <row r="55" spans="2:4" x14ac:dyDescent="0.3">
      <c r="B55">
        <v>37</v>
      </c>
      <c r="C55" s="80">
        <v>466.74252595215114</v>
      </c>
      <c r="D55" s="81">
        <v>0.28563807306965927</v>
      </c>
    </row>
    <row r="56" spans="2:4" x14ac:dyDescent="0.3">
      <c r="B56">
        <v>38</v>
      </c>
      <c r="C56" s="80">
        <v>459.56489885151882</v>
      </c>
      <c r="D56" s="81">
        <v>0.36871873702661162</v>
      </c>
    </row>
    <row r="57" spans="2:4" x14ac:dyDescent="0.3">
      <c r="B57">
        <v>39</v>
      </c>
      <c r="C57" s="80">
        <v>475.04748986233631</v>
      </c>
      <c r="D57" s="81">
        <v>0.31123021662624217</v>
      </c>
    </row>
    <row r="58" spans="2:4" x14ac:dyDescent="0.3">
      <c r="B58">
        <v>40</v>
      </c>
      <c r="C58" s="80">
        <v>301.99798538543894</v>
      </c>
      <c r="D58" s="81">
        <v>0.22835887958619283</v>
      </c>
    </row>
    <row r="59" spans="2:4" x14ac:dyDescent="0.3">
      <c r="B59">
        <v>41</v>
      </c>
      <c r="C59" s="80">
        <v>250.32565053333474</v>
      </c>
      <c r="D59" s="81">
        <v>0.23649214824338549</v>
      </c>
    </row>
    <row r="60" spans="2:4" x14ac:dyDescent="0.3">
      <c r="B60">
        <v>42</v>
      </c>
      <c r="C60" s="80">
        <v>369.19141684071121</v>
      </c>
      <c r="D60" s="81">
        <v>0.24531041910802664</v>
      </c>
    </row>
    <row r="61" spans="2:4" x14ac:dyDescent="0.3">
      <c r="B61">
        <v>43</v>
      </c>
      <c r="C61" s="80">
        <v>536.99903545420875</v>
      </c>
      <c r="D61" s="81">
        <v>0.39936654624361156</v>
      </c>
    </row>
    <row r="62" spans="2:4" x14ac:dyDescent="0.3">
      <c r="B62">
        <v>44</v>
      </c>
      <c r="C62" s="80">
        <v>422.56368829731855</v>
      </c>
      <c r="D62" s="81">
        <v>0.29478500350862391</v>
      </c>
    </row>
    <row r="63" spans="2:4" x14ac:dyDescent="0.3">
      <c r="B63">
        <v>45</v>
      </c>
      <c r="C63" s="80">
        <v>705.12930092153806</v>
      </c>
      <c r="D63" s="81">
        <v>0.45132610218681912</v>
      </c>
    </row>
    <row r="64" spans="2:4" x14ac:dyDescent="0.3">
      <c r="B64">
        <v>46</v>
      </c>
      <c r="C64" s="80">
        <v>177.63029091650856</v>
      </c>
      <c r="D64" s="81">
        <v>0.18036469685921852</v>
      </c>
    </row>
    <row r="65" spans="2:4" x14ac:dyDescent="0.3">
      <c r="B65">
        <v>47</v>
      </c>
      <c r="C65" s="80">
        <v>527.69970184384692</v>
      </c>
      <c r="D65" s="81">
        <v>0.30313970722127292</v>
      </c>
    </row>
    <row r="66" spans="2:4" x14ac:dyDescent="0.3">
      <c r="B66">
        <v>48</v>
      </c>
      <c r="C66" s="80">
        <v>409.34491758816341</v>
      </c>
      <c r="D66" s="81">
        <v>0.2799031160911456</v>
      </c>
    </row>
    <row r="67" spans="2:4" x14ac:dyDescent="0.3">
      <c r="B67">
        <v>49</v>
      </c>
      <c r="C67" s="80">
        <v>405.47616973352922</v>
      </c>
      <c r="D67" s="81">
        <v>0.28375121812063808</v>
      </c>
    </row>
    <row r="68" spans="2:4" x14ac:dyDescent="0.3">
      <c r="B68">
        <v>50</v>
      </c>
      <c r="C68" s="80">
        <v>244.09230207204519</v>
      </c>
      <c r="D68" s="81">
        <v>0.19580771048124812</v>
      </c>
    </row>
    <row r="69" spans="2:4" x14ac:dyDescent="0.3">
      <c r="B69">
        <v>51</v>
      </c>
      <c r="C69" s="80">
        <v>91.654820761818655</v>
      </c>
      <c r="D69" s="81">
        <v>0.14894946795178665</v>
      </c>
    </row>
    <row r="70" spans="2:4" x14ac:dyDescent="0.3">
      <c r="B70">
        <v>52</v>
      </c>
      <c r="C70" s="80">
        <v>630.48902824175661</v>
      </c>
      <c r="D70" s="81">
        <v>0.34650229892059969</v>
      </c>
    </row>
    <row r="71" spans="2:4" x14ac:dyDescent="0.3">
      <c r="B71">
        <v>53</v>
      </c>
      <c r="C71" s="80">
        <v>621.10073743758085</v>
      </c>
      <c r="D71" s="81">
        <v>0.38669916679317762</v>
      </c>
    </row>
    <row r="72" spans="2:4" x14ac:dyDescent="0.3">
      <c r="B72">
        <v>54</v>
      </c>
      <c r="C72" s="80">
        <v>295.2249616598657</v>
      </c>
      <c r="D72" s="81">
        <v>0.24932484545309963</v>
      </c>
    </row>
    <row r="73" spans="2:4" x14ac:dyDescent="0.3">
      <c r="B73">
        <v>55</v>
      </c>
      <c r="C73" s="80">
        <v>594.20314184985</v>
      </c>
      <c r="D73" s="81">
        <v>0.41733340526191842</v>
      </c>
    </row>
    <row r="74" spans="2:4" x14ac:dyDescent="0.3">
      <c r="B74">
        <v>56</v>
      </c>
      <c r="C74" s="80">
        <v>243.57159859573619</v>
      </c>
      <c r="D74" s="81">
        <v>0.22165398386260438</v>
      </c>
    </row>
    <row r="75" spans="2:4" x14ac:dyDescent="0.3">
      <c r="B75">
        <v>57</v>
      </c>
      <c r="C75" s="80">
        <v>141.76365239434301</v>
      </c>
      <c r="D75" s="81">
        <v>0.1996001253701305</v>
      </c>
    </row>
    <row r="76" spans="2:4" x14ac:dyDescent="0.3">
      <c r="B76">
        <v>58</v>
      </c>
      <c r="C76" s="80">
        <v>468.83278411268964</v>
      </c>
      <c r="D76" s="81">
        <v>0.3352901450795196</v>
      </c>
    </row>
    <row r="77" spans="2:4" x14ac:dyDescent="0.3">
      <c r="B77">
        <v>59</v>
      </c>
      <c r="C77" s="80">
        <v>516.48824193142718</v>
      </c>
      <c r="D77" s="81">
        <v>0.30780493750991877</v>
      </c>
    </row>
    <row r="78" spans="2:4" x14ac:dyDescent="0.3">
      <c r="B78">
        <v>60</v>
      </c>
      <c r="C78" s="80">
        <v>627.4132167826765</v>
      </c>
      <c r="D78" s="81">
        <v>0.3126718428092885</v>
      </c>
    </row>
    <row r="79" spans="2:4" x14ac:dyDescent="0.3">
      <c r="B79">
        <v>61</v>
      </c>
      <c r="C79" s="80">
        <v>819.06373346493933</v>
      </c>
      <c r="D79" s="81">
        <v>0.45108250110801951</v>
      </c>
    </row>
    <row r="80" spans="2:4" x14ac:dyDescent="0.3">
      <c r="B80">
        <v>62</v>
      </c>
      <c r="C80" s="80">
        <v>289.249410730558</v>
      </c>
      <c r="D80" s="81">
        <v>0.21816546932209713</v>
      </c>
    </row>
    <row r="81" spans="2:4" x14ac:dyDescent="0.3">
      <c r="B81">
        <v>63</v>
      </c>
      <c r="C81" s="80">
        <v>505.49773326982404</v>
      </c>
      <c r="D81" s="81">
        <v>0.29126598644880231</v>
      </c>
    </row>
    <row r="82" spans="2:4" x14ac:dyDescent="0.3">
      <c r="B82">
        <v>64</v>
      </c>
      <c r="C82" s="80">
        <v>670.47209531575845</v>
      </c>
      <c r="D82" s="81">
        <v>0.34410466590186162</v>
      </c>
    </row>
    <row r="83" spans="2:4" x14ac:dyDescent="0.3">
      <c r="B83">
        <v>65</v>
      </c>
      <c r="C83" s="80">
        <v>610.45716607473128</v>
      </c>
      <c r="D83" s="81">
        <v>0.34032566687913612</v>
      </c>
    </row>
    <row r="84" spans="2:4" x14ac:dyDescent="0.3">
      <c r="B84">
        <v>66</v>
      </c>
      <c r="C84" s="80">
        <v>756.53650594378973</v>
      </c>
      <c r="D84" s="81">
        <v>0.41740256040035773</v>
      </c>
    </row>
    <row r="85" spans="2:4" x14ac:dyDescent="0.3">
      <c r="B85">
        <v>67</v>
      </c>
      <c r="C85" s="80">
        <v>63.869220244755525</v>
      </c>
      <c r="D85" s="81">
        <v>0.13793915183704586</v>
      </c>
    </row>
    <row r="86" spans="2:4" x14ac:dyDescent="0.3">
      <c r="B86">
        <v>68</v>
      </c>
      <c r="C86" s="80">
        <v>726.21816099633361</v>
      </c>
      <c r="D86" s="81">
        <v>0.41735443373829084</v>
      </c>
    </row>
    <row r="87" spans="2:4" x14ac:dyDescent="0.3">
      <c r="B87">
        <v>69</v>
      </c>
      <c r="C87" s="80">
        <v>390.12362071942425</v>
      </c>
      <c r="D87" s="81">
        <v>0.23997226769891555</v>
      </c>
    </row>
    <row r="88" spans="2:4" x14ac:dyDescent="0.3">
      <c r="B88">
        <v>70</v>
      </c>
      <c r="C88" s="80">
        <v>173.75736172613119</v>
      </c>
      <c r="D88" s="81">
        <v>0.17948423415015813</v>
      </c>
    </row>
    <row r="89" spans="2:4" x14ac:dyDescent="0.3">
      <c r="B89">
        <v>71</v>
      </c>
      <c r="C89" s="80">
        <v>336.19432215620282</v>
      </c>
      <c r="D89" s="81">
        <v>0.25124341320665833</v>
      </c>
    </row>
    <row r="90" spans="2:4" x14ac:dyDescent="0.3">
      <c r="B90">
        <v>72</v>
      </c>
      <c r="C90" s="80">
        <v>510.90150958928166</v>
      </c>
      <c r="D90" s="81">
        <v>0.3593870430506183</v>
      </c>
    </row>
    <row r="91" spans="2:4" x14ac:dyDescent="0.3">
      <c r="B91">
        <v>73</v>
      </c>
      <c r="C91" s="80">
        <v>291.3838343819001</v>
      </c>
      <c r="D91" s="81">
        <v>0.22733747987451558</v>
      </c>
    </row>
    <row r="92" spans="2:4" x14ac:dyDescent="0.3">
      <c r="B92">
        <v>74</v>
      </c>
      <c r="C92" s="80">
        <v>464.107065214317</v>
      </c>
      <c r="D92" s="81">
        <v>0.32420696566140084</v>
      </c>
    </row>
    <row r="93" spans="2:4" x14ac:dyDescent="0.3">
      <c r="B93">
        <v>75</v>
      </c>
      <c r="C93" s="80">
        <v>566.98918399922968</v>
      </c>
      <c r="D93" s="81">
        <v>0.36221226105870219</v>
      </c>
    </row>
    <row r="94" spans="2:4" x14ac:dyDescent="0.3">
      <c r="B94">
        <v>76</v>
      </c>
      <c r="C94" s="80">
        <v>434.7760987224907</v>
      </c>
      <c r="D94" s="81">
        <v>0.26871507400118144</v>
      </c>
    </row>
    <row r="95" spans="2:4" x14ac:dyDescent="0.3">
      <c r="B95">
        <v>77</v>
      </c>
      <c r="C95" s="80">
        <v>537.02448831537163</v>
      </c>
      <c r="D95" s="81">
        <v>0.3631008385712402</v>
      </c>
    </row>
    <row r="96" spans="2:4" x14ac:dyDescent="0.3">
      <c r="B96">
        <v>78</v>
      </c>
      <c r="C96" s="80">
        <v>147.13432155307214</v>
      </c>
      <c r="D96" s="81">
        <v>0.16784324937722839</v>
      </c>
    </row>
    <row r="97" spans="2:4" x14ac:dyDescent="0.3">
      <c r="B97">
        <v>79</v>
      </c>
      <c r="C97" s="80">
        <v>424.88319249074902</v>
      </c>
      <c r="D97" s="81">
        <v>0.23964680770068769</v>
      </c>
    </row>
    <row r="98" spans="2:4" x14ac:dyDescent="0.3">
      <c r="B98">
        <v>80</v>
      </c>
      <c r="C98" s="80">
        <v>273.9798384555711</v>
      </c>
      <c r="D98" s="81">
        <v>0.23177371683776515</v>
      </c>
    </row>
    <row r="99" spans="2:4" x14ac:dyDescent="0.3">
      <c r="B99">
        <v>81</v>
      </c>
      <c r="C99" s="80">
        <v>524.94082382757188</v>
      </c>
      <c r="D99" s="81">
        <v>0.34461716048858526</v>
      </c>
    </row>
    <row r="100" spans="2:4" x14ac:dyDescent="0.3">
      <c r="B100">
        <v>82</v>
      </c>
      <c r="C100" s="80">
        <v>687.61113441200018</v>
      </c>
      <c r="D100" s="81">
        <v>0.40665253088646058</v>
      </c>
    </row>
    <row r="101" spans="2:4" x14ac:dyDescent="0.3">
      <c r="B101">
        <v>83</v>
      </c>
      <c r="C101" s="80">
        <v>423.00676217279874</v>
      </c>
      <c r="D101" s="81">
        <v>0.25372123432311966</v>
      </c>
    </row>
    <row r="102" spans="2:4" x14ac:dyDescent="0.3">
      <c r="B102">
        <v>84</v>
      </c>
      <c r="C102" s="80">
        <v>327.35989081395348</v>
      </c>
      <c r="D102" s="81">
        <v>0.26640991261004299</v>
      </c>
    </row>
    <row r="103" spans="2:4" x14ac:dyDescent="0.3">
      <c r="B103">
        <v>85</v>
      </c>
      <c r="C103" s="80">
        <v>557.28235190372925</v>
      </c>
      <c r="D103" s="81">
        <v>0.28603028794793062</v>
      </c>
    </row>
    <row r="104" spans="2:4" x14ac:dyDescent="0.3">
      <c r="B104">
        <v>86</v>
      </c>
      <c r="C104" s="80">
        <v>483.00791607767246</v>
      </c>
      <c r="D104" s="81">
        <v>0.31960980443149856</v>
      </c>
    </row>
    <row r="105" spans="2:4" x14ac:dyDescent="0.3">
      <c r="B105">
        <v>87</v>
      </c>
      <c r="C105" s="80">
        <v>284.31652980869126</v>
      </c>
      <c r="D105" s="81">
        <v>0.2343533201007344</v>
      </c>
    </row>
    <row r="106" spans="2:4" x14ac:dyDescent="0.3">
      <c r="B106">
        <v>88</v>
      </c>
      <c r="C106" s="80">
        <v>451.76850758796604</v>
      </c>
      <c r="D106" s="81">
        <v>0.29177130150384789</v>
      </c>
    </row>
    <row r="107" spans="2:4" x14ac:dyDescent="0.3">
      <c r="B107">
        <v>89</v>
      </c>
      <c r="C107" s="80">
        <v>70.362042263536068</v>
      </c>
      <c r="D107" s="81">
        <v>0.14037363428889549</v>
      </c>
    </row>
    <row r="108" spans="2:4" x14ac:dyDescent="0.3">
      <c r="B108">
        <v>90</v>
      </c>
      <c r="C108" s="80">
        <v>413.25418870845135</v>
      </c>
      <c r="D108" s="81">
        <v>0.28028858087179276</v>
      </c>
    </row>
    <row r="109" spans="2:4" x14ac:dyDescent="0.3">
      <c r="B109">
        <v>91</v>
      </c>
      <c r="C109" s="80">
        <v>283.79917464627044</v>
      </c>
      <c r="D109" s="81">
        <v>0.21809473424462511</v>
      </c>
    </row>
    <row r="110" spans="2:4" x14ac:dyDescent="0.3">
      <c r="B110">
        <v>92</v>
      </c>
      <c r="C110" s="80">
        <v>505.47871982078618</v>
      </c>
      <c r="D110" s="81">
        <v>0.34104171840129993</v>
      </c>
    </row>
    <row r="111" spans="2:4" x14ac:dyDescent="0.3">
      <c r="B111">
        <v>93</v>
      </c>
      <c r="C111" s="80">
        <v>279.77601860643574</v>
      </c>
      <c r="D111" s="81">
        <v>0.22291912376777989</v>
      </c>
    </row>
    <row r="112" spans="2:4" x14ac:dyDescent="0.3">
      <c r="B112">
        <v>94</v>
      </c>
      <c r="C112" s="80">
        <v>176.17768948796038</v>
      </c>
      <c r="D112" s="81">
        <v>0.18874631896242744</v>
      </c>
    </row>
    <row r="113" spans="2:4" x14ac:dyDescent="0.3">
      <c r="B113">
        <v>95</v>
      </c>
      <c r="C113" s="80">
        <v>562.43103308683635</v>
      </c>
      <c r="D113" s="81">
        <v>0.3352983029525709</v>
      </c>
    </row>
    <row r="114" spans="2:4" x14ac:dyDescent="0.3">
      <c r="B114">
        <v>96</v>
      </c>
      <c r="C114" s="80">
        <v>446.11901758940041</v>
      </c>
      <c r="D114" s="81">
        <v>0.25604385987526723</v>
      </c>
    </row>
    <row r="115" spans="2:4" x14ac:dyDescent="0.3">
      <c r="B115">
        <v>97</v>
      </c>
      <c r="C115" s="80">
        <v>404.13422293609119</v>
      </c>
      <c r="D115" s="81">
        <v>0.28122610710175167</v>
      </c>
    </row>
    <row r="116" spans="2:4" x14ac:dyDescent="0.3">
      <c r="B116">
        <v>98</v>
      </c>
      <c r="C116" s="80">
        <v>590.65938373498943</v>
      </c>
      <c r="D116" s="81">
        <v>0.32405735444566552</v>
      </c>
    </row>
    <row r="117" spans="2:4" x14ac:dyDescent="0.3">
      <c r="B117">
        <v>99</v>
      </c>
      <c r="C117" s="80">
        <v>565.06194115886569</v>
      </c>
      <c r="D117" s="81">
        <v>0.31974257988864219</v>
      </c>
    </row>
    <row r="118" spans="2:4" x14ac:dyDescent="0.3">
      <c r="B118">
        <v>100</v>
      </c>
      <c r="C118" s="80">
        <v>685.31278215528209</v>
      </c>
      <c r="D118" s="81">
        <v>0.35394126955620009</v>
      </c>
    </row>
    <row r="119" spans="2:4" x14ac:dyDescent="0.3">
      <c r="B119">
        <v>101</v>
      </c>
      <c r="C119" s="80">
        <v>440.43209317235619</v>
      </c>
      <c r="D119" s="81">
        <v>0.30170420478652704</v>
      </c>
    </row>
    <row r="120" spans="2:4" x14ac:dyDescent="0.3">
      <c r="B120">
        <v>102</v>
      </c>
      <c r="C120" s="80">
        <v>311.89769356405293</v>
      </c>
      <c r="D120" s="81">
        <v>0.21519356596116723</v>
      </c>
    </row>
    <row r="121" spans="2:4" x14ac:dyDescent="0.3">
      <c r="B121">
        <v>103</v>
      </c>
      <c r="C121" s="80">
        <v>686.94302145538768</v>
      </c>
      <c r="D121" s="81">
        <v>0.38406502309793522</v>
      </c>
    </row>
    <row r="122" spans="2:4" x14ac:dyDescent="0.3">
      <c r="B122">
        <v>104</v>
      </c>
      <c r="C122" s="80">
        <v>425.99408107286251</v>
      </c>
      <c r="D122" s="81">
        <v>0.30753004602924405</v>
      </c>
    </row>
    <row r="123" spans="2:4" x14ac:dyDescent="0.3">
      <c r="B123">
        <v>105</v>
      </c>
      <c r="C123" s="80">
        <v>600.43980573790509</v>
      </c>
      <c r="D123" s="81">
        <v>0.4355770880276002</v>
      </c>
    </row>
    <row r="124" spans="2:4" x14ac:dyDescent="0.3">
      <c r="B124">
        <v>106</v>
      </c>
      <c r="C124" s="80">
        <v>395.63373186979277</v>
      </c>
      <c r="D124" s="81">
        <v>0.2493358234207057</v>
      </c>
    </row>
    <row r="125" spans="2:4" x14ac:dyDescent="0.3">
      <c r="B125">
        <v>107</v>
      </c>
      <c r="C125" s="80">
        <v>779.68258946786136</v>
      </c>
      <c r="D125" s="81">
        <v>0.38476317513009883</v>
      </c>
    </row>
    <row r="126" spans="2:4" x14ac:dyDescent="0.3">
      <c r="B126">
        <v>108</v>
      </c>
      <c r="C126" s="80">
        <v>337.21741879032481</v>
      </c>
      <c r="D126" s="81">
        <v>0.23897602848649901</v>
      </c>
    </row>
    <row r="127" spans="2:4" x14ac:dyDescent="0.3">
      <c r="B127">
        <v>109</v>
      </c>
      <c r="C127" s="80">
        <v>365.56655812136216</v>
      </c>
      <c r="D127" s="81">
        <v>0.2572389795635095</v>
      </c>
    </row>
    <row r="128" spans="2:4" x14ac:dyDescent="0.3">
      <c r="B128">
        <v>110</v>
      </c>
      <c r="C128" s="80">
        <v>350.90733920160073</v>
      </c>
      <c r="D128" s="81">
        <v>0.2448586706638769</v>
      </c>
    </row>
    <row r="129" spans="2:4" x14ac:dyDescent="0.3">
      <c r="B129">
        <v>111</v>
      </c>
      <c r="C129" s="80">
        <v>382.76917543070044</v>
      </c>
      <c r="D129" s="81">
        <v>0.32016075882151296</v>
      </c>
    </row>
    <row r="130" spans="2:4" x14ac:dyDescent="0.3">
      <c r="B130">
        <v>112</v>
      </c>
      <c r="C130" s="80">
        <v>57.58505047184758</v>
      </c>
      <c r="D130" s="81">
        <v>0.1360823537842788</v>
      </c>
    </row>
    <row r="131" spans="2:4" x14ac:dyDescent="0.3">
      <c r="B131">
        <v>113</v>
      </c>
      <c r="C131" s="80">
        <v>341.30081953982324</v>
      </c>
      <c r="D131" s="81">
        <v>0.23717547285635554</v>
      </c>
    </row>
    <row r="132" spans="2:4" x14ac:dyDescent="0.3">
      <c r="B132">
        <v>114</v>
      </c>
      <c r="C132" s="80">
        <v>424.9106576887965</v>
      </c>
      <c r="D132" s="81">
        <v>0.3066866320391346</v>
      </c>
    </row>
    <row r="133" spans="2:4" x14ac:dyDescent="0.3">
      <c r="B133">
        <v>115</v>
      </c>
      <c r="C133" s="80">
        <v>380.10018197277702</v>
      </c>
      <c r="D133" s="81">
        <v>0.25604520861788549</v>
      </c>
    </row>
    <row r="134" spans="2:4" x14ac:dyDescent="0.3">
      <c r="B134">
        <v>116</v>
      </c>
      <c r="C134" s="80">
        <v>618.62501356402481</v>
      </c>
      <c r="D134" s="81">
        <v>0.40844017286854717</v>
      </c>
    </row>
    <row r="135" spans="2:4" x14ac:dyDescent="0.3">
      <c r="B135">
        <v>117</v>
      </c>
      <c r="C135" s="80">
        <v>689.47563275353878</v>
      </c>
      <c r="D135" s="81">
        <v>0.45938006221245264</v>
      </c>
    </row>
    <row r="136" spans="2:4" x14ac:dyDescent="0.3">
      <c r="B136">
        <v>118</v>
      </c>
      <c r="C136" s="80">
        <v>281.66204355302068</v>
      </c>
      <c r="D136" s="81">
        <v>0.20632996676519433</v>
      </c>
    </row>
    <row r="137" spans="2:4" x14ac:dyDescent="0.3">
      <c r="B137">
        <v>119</v>
      </c>
      <c r="C137" s="80">
        <v>435.93789540676278</v>
      </c>
      <c r="D137" s="81">
        <v>0.30522046920946067</v>
      </c>
    </row>
    <row r="138" spans="2:4" x14ac:dyDescent="0.3">
      <c r="B138">
        <v>120</v>
      </c>
      <c r="C138" s="80">
        <v>292.68237376897378</v>
      </c>
      <c r="D138" s="81">
        <v>0.25494653032420378</v>
      </c>
    </row>
    <row r="139" spans="2:4" x14ac:dyDescent="0.3">
      <c r="B139">
        <v>121</v>
      </c>
      <c r="C139" s="80">
        <v>357.47158309717997</v>
      </c>
      <c r="D139" s="81">
        <v>0.2665628465597365</v>
      </c>
    </row>
    <row r="140" spans="2:4" x14ac:dyDescent="0.3">
      <c r="B140">
        <v>122</v>
      </c>
      <c r="C140" s="80">
        <v>319.76512084426463</v>
      </c>
      <c r="D140" s="81">
        <v>0.23762033553939665</v>
      </c>
    </row>
    <row r="141" spans="2:4" x14ac:dyDescent="0.3">
      <c r="B141">
        <v>123</v>
      </c>
      <c r="C141" s="80">
        <v>434.76442093309697</v>
      </c>
      <c r="D141" s="81">
        <v>0.29294436467664609</v>
      </c>
    </row>
    <row r="142" spans="2:4" x14ac:dyDescent="0.3">
      <c r="B142">
        <v>124</v>
      </c>
      <c r="C142" s="80">
        <v>273.03555964106363</v>
      </c>
      <c r="D142" s="81">
        <v>0.25482785778468986</v>
      </c>
    </row>
    <row r="143" spans="2:4" x14ac:dyDescent="0.3">
      <c r="B143">
        <v>125</v>
      </c>
      <c r="C143" s="80">
        <v>276.56710645383862</v>
      </c>
      <c r="D143" s="81">
        <v>0.20528298529550959</v>
      </c>
    </row>
    <row r="144" spans="2:4" x14ac:dyDescent="0.3">
      <c r="B144">
        <v>126</v>
      </c>
      <c r="C144" s="80">
        <v>679.39567873330338</v>
      </c>
      <c r="D144" s="81">
        <v>0.36567814930177689</v>
      </c>
    </row>
    <row r="145" spans="2:4" x14ac:dyDescent="0.3">
      <c r="B145">
        <v>127</v>
      </c>
      <c r="C145" s="80">
        <v>374.88989536741894</v>
      </c>
      <c r="D145" s="81">
        <v>0.2849932917319673</v>
      </c>
    </row>
    <row r="146" spans="2:4" x14ac:dyDescent="0.3">
      <c r="B146">
        <v>128</v>
      </c>
      <c r="C146" s="80">
        <v>405.55940495629704</v>
      </c>
      <c r="D146" s="81">
        <v>0.25442563964853426</v>
      </c>
    </row>
    <row r="147" spans="2:4" x14ac:dyDescent="0.3">
      <c r="B147">
        <v>129</v>
      </c>
      <c r="C147" s="80">
        <v>507.82441080997137</v>
      </c>
      <c r="D147" s="81">
        <v>0.3284787873966124</v>
      </c>
    </row>
    <row r="148" spans="2:4" x14ac:dyDescent="0.3">
      <c r="B148">
        <v>130</v>
      </c>
      <c r="C148" s="80">
        <v>549.33053577985515</v>
      </c>
      <c r="D148" s="81">
        <v>0.3104397483221204</v>
      </c>
    </row>
    <row r="149" spans="2:4" x14ac:dyDescent="0.3">
      <c r="B149">
        <v>131</v>
      </c>
      <c r="C149" s="80">
        <v>281.00839265957052</v>
      </c>
      <c r="D149" s="81">
        <v>0.23910472444556441</v>
      </c>
    </row>
    <row r="150" spans="2:4" x14ac:dyDescent="0.3">
      <c r="B150">
        <v>132</v>
      </c>
      <c r="C150" s="80">
        <v>366.37234847840227</v>
      </c>
      <c r="D150" s="81">
        <v>0.25194338326711807</v>
      </c>
    </row>
    <row r="151" spans="2:4" x14ac:dyDescent="0.3">
      <c r="B151">
        <v>133</v>
      </c>
      <c r="C151" s="80">
        <v>654.13523274662498</v>
      </c>
      <c r="D151" s="81">
        <v>0.3324446799469587</v>
      </c>
    </row>
    <row r="152" spans="2:4" x14ac:dyDescent="0.3">
      <c r="B152">
        <v>134</v>
      </c>
      <c r="C152" s="80">
        <v>251.9700073436959</v>
      </c>
      <c r="D152" s="81">
        <v>0.20971698959689467</v>
      </c>
    </row>
    <row r="153" spans="2:4" x14ac:dyDescent="0.3">
      <c r="B153">
        <v>135</v>
      </c>
      <c r="C153" s="80">
        <v>637.8959360047495</v>
      </c>
      <c r="D153" s="81">
        <v>0.45098831796469985</v>
      </c>
    </row>
    <row r="154" spans="2:4" x14ac:dyDescent="0.3">
      <c r="B154">
        <v>136</v>
      </c>
      <c r="C154" s="80">
        <v>238.30662781687943</v>
      </c>
      <c r="D154" s="81">
        <v>0.21295964975971993</v>
      </c>
    </row>
    <row r="155" spans="2:4" x14ac:dyDescent="0.3">
      <c r="B155">
        <v>137</v>
      </c>
      <c r="C155" s="80">
        <v>624.07948931567557</v>
      </c>
      <c r="D155" s="81">
        <v>0.40724794226087169</v>
      </c>
    </row>
    <row r="156" spans="2:4" x14ac:dyDescent="0.3">
      <c r="B156">
        <v>138</v>
      </c>
      <c r="C156" s="80">
        <v>433.54588169186786</v>
      </c>
      <c r="D156" s="81">
        <v>0.278341584398905</v>
      </c>
    </row>
    <row r="157" spans="2:4" x14ac:dyDescent="0.3">
      <c r="B157">
        <v>139</v>
      </c>
      <c r="C157" s="80">
        <v>367.45920716587693</v>
      </c>
      <c r="D157" s="81">
        <v>0.31503070207516704</v>
      </c>
    </row>
    <row r="158" spans="2:4" x14ac:dyDescent="0.3">
      <c r="B158">
        <v>140</v>
      </c>
      <c r="C158" s="80">
        <v>207.95052065025573</v>
      </c>
      <c r="D158" s="81">
        <v>0.19776178766699948</v>
      </c>
    </row>
    <row r="159" spans="2:4" x14ac:dyDescent="0.3">
      <c r="B159">
        <v>141</v>
      </c>
      <c r="C159" s="80">
        <v>473.1785226361053</v>
      </c>
      <c r="D159" s="81">
        <v>0.33099777977316536</v>
      </c>
    </row>
    <row r="160" spans="2:4" x14ac:dyDescent="0.3">
      <c r="B160">
        <v>142</v>
      </c>
      <c r="C160" s="80">
        <v>551.83079633965212</v>
      </c>
      <c r="D160" s="81">
        <v>0.33562794557316877</v>
      </c>
    </row>
    <row r="161" spans="2:4" x14ac:dyDescent="0.3">
      <c r="B161">
        <v>143</v>
      </c>
      <c r="C161" s="80">
        <v>639.01634251470432</v>
      </c>
      <c r="D161" s="81">
        <v>0.34170540031493113</v>
      </c>
    </row>
    <row r="162" spans="2:4" x14ac:dyDescent="0.3">
      <c r="B162">
        <v>144</v>
      </c>
      <c r="C162" s="80">
        <v>705.2335187554545</v>
      </c>
      <c r="D162" s="81">
        <v>0.39421465452854632</v>
      </c>
    </row>
    <row r="163" spans="2:4" x14ac:dyDescent="0.3">
      <c r="B163">
        <v>145</v>
      </c>
      <c r="C163" s="80">
        <v>477.94630260209715</v>
      </c>
      <c r="D163" s="81">
        <v>0.29724714684582798</v>
      </c>
    </row>
    <row r="164" spans="2:4" x14ac:dyDescent="0.3">
      <c r="B164">
        <v>146</v>
      </c>
      <c r="C164" s="80">
        <v>455.56893766848088</v>
      </c>
      <c r="D164" s="81">
        <v>0.24912901145149347</v>
      </c>
    </row>
    <row r="165" spans="2:4" x14ac:dyDescent="0.3">
      <c r="B165">
        <v>147</v>
      </c>
      <c r="C165" s="80">
        <v>473.67996943616072</v>
      </c>
      <c r="D165" s="81">
        <v>0.29630110905002316</v>
      </c>
    </row>
    <row r="166" spans="2:4" x14ac:dyDescent="0.3">
      <c r="B166">
        <v>148</v>
      </c>
      <c r="C166" s="80">
        <v>265.36946512237398</v>
      </c>
      <c r="D166" s="81">
        <v>0.21254769745514612</v>
      </c>
    </row>
    <row r="167" spans="2:4" x14ac:dyDescent="0.3">
      <c r="B167">
        <v>149</v>
      </c>
      <c r="C167" s="80">
        <v>698.43689437028866</v>
      </c>
      <c r="D167" s="81">
        <v>0.48172522781755656</v>
      </c>
    </row>
    <row r="168" spans="2:4" x14ac:dyDescent="0.3">
      <c r="B168">
        <v>150</v>
      </c>
      <c r="C168" s="80">
        <v>531.02541549766261</v>
      </c>
      <c r="D168" s="81">
        <v>0.3464165471589371</v>
      </c>
    </row>
    <row r="169" spans="2:4" x14ac:dyDescent="0.3">
      <c r="B169">
        <v>151</v>
      </c>
      <c r="C169" s="80">
        <v>599.11471765678766</v>
      </c>
      <c r="D169" s="81">
        <v>0.29656659297160504</v>
      </c>
    </row>
    <row r="170" spans="2:4" x14ac:dyDescent="0.3">
      <c r="B170">
        <v>152</v>
      </c>
      <c r="C170" s="80">
        <v>269.34672240285454</v>
      </c>
      <c r="D170" s="81">
        <v>0.2038103313567623</v>
      </c>
    </row>
    <row r="171" spans="2:4" x14ac:dyDescent="0.3">
      <c r="B171">
        <v>153</v>
      </c>
      <c r="C171" s="80">
        <v>437.69072621987675</v>
      </c>
      <c r="D171" s="81">
        <v>0.32496696651372958</v>
      </c>
    </row>
    <row r="172" spans="2:4" x14ac:dyDescent="0.3">
      <c r="B172">
        <v>154</v>
      </c>
      <c r="C172" s="80">
        <v>607.19725446890811</v>
      </c>
      <c r="D172" s="81">
        <v>0.32210750187626691</v>
      </c>
    </row>
    <row r="173" spans="2:4" x14ac:dyDescent="0.3">
      <c r="B173">
        <v>155</v>
      </c>
      <c r="C173" s="80">
        <v>607.45125897010394</v>
      </c>
      <c r="D173" s="81">
        <v>0.42916097519178198</v>
      </c>
    </row>
    <row r="174" spans="2:4" x14ac:dyDescent="0.3">
      <c r="B174">
        <v>156</v>
      </c>
      <c r="C174" s="80">
        <v>469.40767741947388</v>
      </c>
      <c r="D174" s="81">
        <v>0.27497082517291593</v>
      </c>
    </row>
    <row r="175" spans="2:4" x14ac:dyDescent="0.3">
      <c r="B175">
        <v>157</v>
      </c>
      <c r="C175" s="80">
        <v>479.3504848799289</v>
      </c>
      <c r="D175" s="81">
        <v>0.32142039366024511</v>
      </c>
    </row>
    <row r="176" spans="2:4" x14ac:dyDescent="0.3">
      <c r="B176">
        <v>158</v>
      </c>
      <c r="C176" s="80">
        <v>281.02477249727065</v>
      </c>
      <c r="D176" s="81">
        <v>0.21157316394966585</v>
      </c>
    </row>
    <row r="177" spans="2:4" x14ac:dyDescent="0.3">
      <c r="B177">
        <v>159</v>
      </c>
      <c r="C177" s="80">
        <v>382.86953480468776</v>
      </c>
      <c r="D177" s="81">
        <v>0.26165502010968411</v>
      </c>
    </row>
    <row r="178" spans="2:4" x14ac:dyDescent="0.3">
      <c r="B178">
        <v>160</v>
      </c>
      <c r="C178" s="80">
        <v>532.39766129862574</v>
      </c>
      <c r="D178" s="81">
        <v>0.39918004026052145</v>
      </c>
    </row>
    <row r="179" spans="2:4" x14ac:dyDescent="0.3">
      <c r="B179">
        <v>161</v>
      </c>
      <c r="C179" s="80">
        <v>524.04970061783843</v>
      </c>
      <c r="D179" s="81">
        <v>0.33838492765520067</v>
      </c>
    </row>
    <row r="180" spans="2:4" x14ac:dyDescent="0.3">
      <c r="B180">
        <v>162</v>
      </c>
      <c r="C180" s="80">
        <v>644.04409827448671</v>
      </c>
      <c r="D180" s="81">
        <v>0.38232828889542425</v>
      </c>
    </row>
    <row r="181" spans="2:4" x14ac:dyDescent="0.3">
      <c r="B181">
        <v>163</v>
      </c>
      <c r="C181" s="80">
        <v>469.53193734566742</v>
      </c>
      <c r="D181" s="81">
        <v>0.28214621718854138</v>
      </c>
    </row>
    <row r="182" spans="2:4" x14ac:dyDescent="0.3">
      <c r="B182">
        <v>164</v>
      </c>
      <c r="C182" s="80">
        <v>411.96882821921122</v>
      </c>
      <c r="D182" s="81">
        <v>0.28575853736711943</v>
      </c>
    </row>
    <row r="183" spans="2:4" x14ac:dyDescent="0.3">
      <c r="B183">
        <v>165</v>
      </c>
      <c r="C183" s="80">
        <v>751.77729503409614</v>
      </c>
      <c r="D183" s="81">
        <v>0.42536352791859011</v>
      </c>
    </row>
    <row r="184" spans="2:4" x14ac:dyDescent="0.3">
      <c r="B184">
        <v>166</v>
      </c>
      <c r="C184" s="80">
        <v>124.49965978118155</v>
      </c>
      <c r="D184" s="81">
        <v>0.15585861927757283</v>
      </c>
    </row>
    <row r="185" spans="2:4" x14ac:dyDescent="0.3">
      <c r="B185">
        <v>167</v>
      </c>
      <c r="C185" s="80">
        <v>741.47883071574665</v>
      </c>
      <c r="D185" s="81">
        <v>0.4046258438113437</v>
      </c>
    </row>
    <row r="186" spans="2:4" x14ac:dyDescent="0.3">
      <c r="B186">
        <v>168</v>
      </c>
      <c r="C186" s="80">
        <v>479.27607865971981</v>
      </c>
      <c r="D186" s="81">
        <v>0.27538186957574728</v>
      </c>
    </row>
    <row r="187" spans="2:4" x14ac:dyDescent="0.3">
      <c r="B187">
        <v>169</v>
      </c>
      <c r="C187" s="80">
        <v>755.76276643262736</v>
      </c>
      <c r="D187" s="81">
        <v>0.42278157339832889</v>
      </c>
    </row>
    <row r="188" spans="2:4" x14ac:dyDescent="0.3">
      <c r="B188">
        <v>170</v>
      </c>
      <c r="C188" s="80">
        <v>455.50677831891221</v>
      </c>
      <c r="D188" s="81">
        <v>0.29732475970288297</v>
      </c>
    </row>
    <row r="189" spans="2:4" x14ac:dyDescent="0.3">
      <c r="B189">
        <v>171</v>
      </c>
      <c r="C189" s="80">
        <v>243.44879433800793</v>
      </c>
      <c r="D189" s="81">
        <v>0.21451680897560443</v>
      </c>
    </row>
    <row r="190" spans="2:4" x14ac:dyDescent="0.3">
      <c r="B190">
        <v>172</v>
      </c>
      <c r="C190" s="80">
        <v>701.11615810166472</v>
      </c>
      <c r="D190" s="81">
        <v>0.37206433391671534</v>
      </c>
    </row>
    <row r="191" spans="2:4" x14ac:dyDescent="0.3">
      <c r="B191">
        <v>173</v>
      </c>
      <c r="C191" s="80">
        <v>487.6385150156575</v>
      </c>
      <c r="D191" s="81">
        <v>0.27497142327658719</v>
      </c>
    </row>
    <row r="192" spans="2:4" x14ac:dyDescent="0.3">
      <c r="B192">
        <v>174</v>
      </c>
      <c r="C192" s="80">
        <v>412.91722109598766</v>
      </c>
      <c r="D192" s="81">
        <v>0.24879568364869153</v>
      </c>
    </row>
    <row r="193" spans="2:4" x14ac:dyDescent="0.3">
      <c r="B193">
        <v>175</v>
      </c>
      <c r="C193" s="80">
        <v>727.87919528787052</v>
      </c>
      <c r="D193" s="81">
        <v>0.33261544917938424</v>
      </c>
    </row>
    <row r="194" spans="2:4" x14ac:dyDescent="0.3">
      <c r="B194">
        <v>176</v>
      </c>
      <c r="C194" s="80">
        <v>540.30153300310349</v>
      </c>
      <c r="D194" s="81">
        <v>0.37779461013213433</v>
      </c>
    </row>
    <row r="195" spans="2:4" x14ac:dyDescent="0.3">
      <c r="B195">
        <v>177</v>
      </c>
      <c r="C195" s="80">
        <v>122.71510497169675</v>
      </c>
      <c r="D195" s="81">
        <v>0.1651379944810849</v>
      </c>
    </row>
    <row r="196" spans="2:4" x14ac:dyDescent="0.3">
      <c r="B196">
        <v>178</v>
      </c>
      <c r="C196" s="80">
        <v>724.47813908890043</v>
      </c>
      <c r="D196" s="81">
        <v>0.46355739569285559</v>
      </c>
    </row>
    <row r="197" spans="2:4" x14ac:dyDescent="0.3">
      <c r="B197">
        <v>179</v>
      </c>
      <c r="C197" s="80">
        <v>365.28539012253384</v>
      </c>
      <c r="D197" s="81">
        <v>0.23795483033691145</v>
      </c>
    </row>
    <row r="198" spans="2:4" x14ac:dyDescent="0.3">
      <c r="B198">
        <v>180</v>
      </c>
      <c r="C198" s="80">
        <v>212.77578792584666</v>
      </c>
      <c r="D198" s="81">
        <v>0.19457794176245402</v>
      </c>
    </row>
    <row r="199" spans="2:4" x14ac:dyDescent="0.3">
      <c r="B199">
        <v>181</v>
      </c>
      <c r="C199" s="80">
        <v>501.05667956607863</v>
      </c>
      <c r="D199" s="81">
        <v>0.319953054704333</v>
      </c>
    </row>
    <row r="200" spans="2:4" x14ac:dyDescent="0.3">
      <c r="B200">
        <v>182</v>
      </c>
      <c r="C200" s="80">
        <v>216.68589528281302</v>
      </c>
      <c r="D200" s="81">
        <v>0.18430166823639649</v>
      </c>
    </row>
    <row r="201" spans="2:4" x14ac:dyDescent="0.3">
      <c r="B201">
        <v>183</v>
      </c>
      <c r="C201" s="80">
        <v>447.9554940375026</v>
      </c>
      <c r="D201" s="81">
        <v>0.26660597785001094</v>
      </c>
    </row>
    <row r="202" spans="2:4" x14ac:dyDescent="0.3">
      <c r="B202">
        <v>184</v>
      </c>
      <c r="C202" s="80">
        <v>353.24129117860593</v>
      </c>
      <c r="D202" s="81">
        <v>0.24538839647634125</v>
      </c>
    </row>
    <row r="203" spans="2:4" x14ac:dyDescent="0.3">
      <c r="B203">
        <v>185</v>
      </c>
      <c r="C203" s="80">
        <v>400.59724058924155</v>
      </c>
      <c r="D203" s="81">
        <v>0.24669660353063505</v>
      </c>
    </row>
    <row r="204" spans="2:4" x14ac:dyDescent="0.3">
      <c r="B204">
        <v>186</v>
      </c>
      <c r="C204" s="80">
        <v>219.5395437071661</v>
      </c>
      <c r="D204" s="81">
        <v>0.2110404880834329</v>
      </c>
    </row>
    <row r="205" spans="2:4" x14ac:dyDescent="0.3">
      <c r="B205">
        <v>187</v>
      </c>
      <c r="C205" s="80">
        <v>263.14105156194205</v>
      </c>
      <c r="D205" s="81">
        <v>0.21127950678754237</v>
      </c>
    </row>
    <row r="206" spans="2:4" x14ac:dyDescent="0.3">
      <c r="B206">
        <v>188</v>
      </c>
      <c r="C206" s="80">
        <v>307.55030769475411</v>
      </c>
      <c r="D206" s="81">
        <v>0.22412299488628662</v>
      </c>
    </row>
    <row r="207" spans="2:4" x14ac:dyDescent="0.3">
      <c r="B207">
        <v>189</v>
      </c>
      <c r="C207" s="80">
        <v>448.90729969963718</v>
      </c>
      <c r="D207" s="81">
        <v>0.33088786778293167</v>
      </c>
    </row>
    <row r="208" spans="2:4" x14ac:dyDescent="0.3">
      <c r="B208">
        <v>190</v>
      </c>
      <c r="C208" s="80">
        <v>531.04431832686487</v>
      </c>
      <c r="D208" s="81">
        <v>0.34845712538145013</v>
      </c>
    </row>
    <row r="209" spans="2:4" x14ac:dyDescent="0.3">
      <c r="B209">
        <v>191</v>
      </c>
      <c r="C209" s="80">
        <v>616.97866213844623</v>
      </c>
      <c r="D209" s="81">
        <v>0.37735497795383655</v>
      </c>
    </row>
    <row r="210" spans="2:4" x14ac:dyDescent="0.3">
      <c r="B210">
        <v>192</v>
      </c>
      <c r="C210" s="80">
        <v>492.35792997145745</v>
      </c>
      <c r="D210" s="81">
        <v>0.29377037887219237</v>
      </c>
    </row>
    <row r="211" spans="2:4" x14ac:dyDescent="0.3">
      <c r="B211">
        <v>193</v>
      </c>
      <c r="C211" s="80">
        <v>577.18061834821629</v>
      </c>
      <c r="D211" s="81">
        <v>0.33374485735159509</v>
      </c>
    </row>
    <row r="212" spans="2:4" x14ac:dyDescent="0.3">
      <c r="B212">
        <v>194</v>
      </c>
      <c r="C212" s="80">
        <v>423.65314801498494</v>
      </c>
      <c r="D212" s="81">
        <v>0.29412088805272063</v>
      </c>
    </row>
    <row r="213" spans="2:4" x14ac:dyDescent="0.3">
      <c r="B213">
        <v>195</v>
      </c>
      <c r="C213" s="80">
        <v>481.48124079956119</v>
      </c>
      <c r="D213" s="81">
        <v>0.28295212065728448</v>
      </c>
    </row>
    <row r="214" spans="2:4" x14ac:dyDescent="0.3">
      <c r="B214">
        <v>196</v>
      </c>
      <c r="C214" s="80">
        <v>241.79742273154079</v>
      </c>
      <c r="D214" s="81">
        <v>0.22295048352454772</v>
      </c>
    </row>
    <row r="215" spans="2:4" x14ac:dyDescent="0.3">
      <c r="B215">
        <v>197</v>
      </c>
      <c r="C215" s="80">
        <v>121.16236772101922</v>
      </c>
      <c r="D215" s="81">
        <v>0.15983166203206145</v>
      </c>
    </row>
    <row r="216" spans="2:4" x14ac:dyDescent="0.3">
      <c r="B216">
        <v>198</v>
      </c>
      <c r="C216" s="80">
        <v>639.55768929205465</v>
      </c>
      <c r="D216" s="81">
        <v>0.32978751426599229</v>
      </c>
    </row>
    <row r="217" spans="2:4" x14ac:dyDescent="0.3">
      <c r="B217">
        <v>199</v>
      </c>
      <c r="C217" s="80">
        <v>428.52970934028406</v>
      </c>
      <c r="D217" s="81">
        <v>0.31243397758041458</v>
      </c>
    </row>
    <row r="218" spans="2:4" x14ac:dyDescent="0.3">
      <c r="B218">
        <v>200</v>
      </c>
      <c r="C218" s="80">
        <v>381.08859466903039</v>
      </c>
      <c r="D218" s="81">
        <v>0.27709048581885898</v>
      </c>
    </row>
    <row r="219" spans="2:4" x14ac:dyDescent="0.3">
      <c r="B219">
        <v>201</v>
      </c>
      <c r="C219" s="80">
        <v>302.54296893662161</v>
      </c>
      <c r="D219" s="81">
        <v>0.23914596618482675</v>
      </c>
    </row>
    <row r="220" spans="2:4" x14ac:dyDescent="0.3">
      <c r="B220">
        <v>202</v>
      </c>
      <c r="C220" s="80">
        <v>345.21672384666192</v>
      </c>
      <c r="D220" s="81">
        <v>0.21144694525077634</v>
      </c>
    </row>
    <row r="221" spans="2:4" x14ac:dyDescent="0.3">
      <c r="B221">
        <v>203</v>
      </c>
      <c r="C221" s="80">
        <v>359.49918002900131</v>
      </c>
      <c r="D221" s="81">
        <v>0.2443849640586504</v>
      </c>
    </row>
    <row r="222" spans="2:4" x14ac:dyDescent="0.3">
      <c r="B222">
        <v>204</v>
      </c>
      <c r="C222" s="80">
        <v>70.387102837263683</v>
      </c>
      <c r="D222" s="81">
        <v>0.13887715001194989</v>
      </c>
    </row>
    <row r="223" spans="2:4" x14ac:dyDescent="0.3">
      <c r="B223">
        <v>205</v>
      </c>
      <c r="C223" s="80">
        <v>514.94780135614678</v>
      </c>
      <c r="D223" s="81">
        <v>0.32857944019852625</v>
      </c>
    </row>
    <row r="224" spans="2:4" x14ac:dyDescent="0.3">
      <c r="B224">
        <v>206</v>
      </c>
      <c r="C224" s="80">
        <v>483.6307166072329</v>
      </c>
      <c r="D224" s="81">
        <v>0.30032555519968485</v>
      </c>
    </row>
    <row r="225" spans="2:4" x14ac:dyDescent="0.3">
      <c r="B225">
        <v>207</v>
      </c>
      <c r="C225" s="80">
        <v>479.16723804477238</v>
      </c>
      <c r="D225" s="81">
        <v>0.29973738767827718</v>
      </c>
    </row>
    <row r="226" spans="2:4" x14ac:dyDescent="0.3">
      <c r="B226">
        <v>208</v>
      </c>
      <c r="C226" s="80">
        <v>425.44383389792381</v>
      </c>
      <c r="D226" s="81">
        <v>0.27298069539425529</v>
      </c>
    </row>
    <row r="227" spans="2:4" x14ac:dyDescent="0.3">
      <c r="B227">
        <v>209</v>
      </c>
      <c r="C227" s="80">
        <v>245.96952652308221</v>
      </c>
      <c r="D227" s="81">
        <v>0.21233960507745619</v>
      </c>
    </row>
    <row r="228" spans="2:4" x14ac:dyDescent="0.3">
      <c r="B228">
        <v>210</v>
      </c>
      <c r="C228" s="80">
        <v>237.10808119521516</v>
      </c>
      <c r="D228" s="81">
        <v>0.23335331785556734</v>
      </c>
    </row>
    <row r="229" spans="2:4" x14ac:dyDescent="0.3">
      <c r="B229">
        <v>211</v>
      </c>
      <c r="C229" s="80">
        <v>407.61032899493819</v>
      </c>
      <c r="D229" s="81">
        <v>0.28322831640330337</v>
      </c>
    </row>
    <row r="230" spans="2:4" x14ac:dyDescent="0.3">
      <c r="B230">
        <v>212</v>
      </c>
      <c r="C230" s="80">
        <v>590.96075728200867</v>
      </c>
      <c r="D230" s="81">
        <v>0.30638968298119451</v>
      </c>
    </row>
    <row r="231" spans="2:4" x14ac:dyDescent="0.3">
      <c r="B231">
        <v>213</v>
      </c>
      <c r="C231" s="80">
        <v>372.0632604326313</v>
      </c>
      <c r="D231" s="81">
        <v>0.24857313774030665</v>
      </c>
    </row>
    <row r="232" spans="2:4" x14ac:dyDescent="0.3">
      <c r="B232">
        <v>214</v>
      </c>
      <c r="C232" s="80">
        <v>694.3382573854617</v>
      </c>
      <c r="D232" s="81">
        <v>0.37554333780554261</v>
      </c>
    </row>
    <row r="233" spans="2:4" x14ac:dyDescent="0.3">
      <c r="B233">
        <v>215</v>
      </c>
      <c r="C233" s="80">
        <v>493.01134159478738</v>
      </c>
      <c r="D233" s="81">
        <v>0.29152773043428071</v>
      </c>
    </row>
    <row r="234" spans="2:4" x14ac:dyDescent="0.3">
      <c r="B234">
        <v>216</v>
      </c>
      <c r="C234" s="80">
        <v>923.25777137172736</v>
      </c>
      <c r="D234" s="81">
        <v>0.44732968704852949</v>
      </c>
    </row>
    <row r="235" spans="2:4" x14ac:dyDescent="0.3">
      <c r="B235">
        <v>217</v>
      </c>
      <c r="C235" s="80">
        <v>471.72050743498642</v>
      </c>
      <c r="D235" s="81">
        <v>0.29914121261375914</v>
      </c>
    </row>
    <row r="236" spans="2:4" x14ac:dyDescent="0.3">
      <c r="B236">
        <v>218</v>
      </c>
      <c r="C236" s="80">
        <v>649.42675961570376</v>
      </c>
      <c r="D236" s="81">
        <v>0.36803148822902187</v>
      </c>
    </row>
    <row r="237" spans="2:4" x14ac:dyDescent="0.3">
      <c r="B237">
        <v>219</v>
      </c>
      <c r="C237" s="80">
        <v>288.05395083923941</v>
      </c>
      <c r="D237" s="81">
        <v>0.24987223920913149</v>
      </c>
    </row>
    <row r="238" spans="2:4" x14ac:dyDescent="0.3">
      <c r="B238">
        <v>220</v>
      </c>
      <c r="C238" s="80">
        <v>378.63097594784551</v>
      </c>
      <c r="D238" s="81">
        <v>0.27233364982294361</v>
      </c>
    </row>
    <row r="239" spans="2:4" x14ac:dyDescent="0.3">
      <c r="B239">
        <v>221</v>
      </c>
      <c r="C239" s="80">
        <v>327.27926768671387</v>
      </c>
      <c r="D239" s="81">
        <v>0.23326894662034703</v>
      </c>
    </row>
    <row r="240" spans="2:4" x14ac:dyDescent="0.3">
      <c r="B240">
        <v>222</v>
      </c>
      <c r="C240" s="80">
        <v>265.9681366965217</v>
      </c>
      <c r="D240" s="81">
        <v>0.19968093476638904</v>
      </c>
    </row>
    <row r="241" spans="2:4" x14ac:dyDescent="0.3">
      <c r="B241">
        <v>223</v>
      </c>
      <c r="C241" s="80">
        <v>389.97518257628587</v>
      </c>
      <c r="D241" s="81">
        <v>0.28175375563499072</v>
      </c>
    </row>
    <row r="242" spans="2:4" x14ac:dyDescent="0.3">
      <c r="B242">
        <v>224</v>
      </c>
      <c r="C242" s="80">
        <v>194.88032065413518</v>
      </c>
      <c r="D242" s="81">
        <v>0.17974133347808596</v>
      </c>
    </row>
    <row r="243" spans="2:4" x14ac:dyDescent="0.3">
      <c r="B243">
        <v>225</v>
      </c>
      <c r="C243" s="80">
        <v>237.23239917659373</v>
      </c>
      <c r="D243" s="81">
        <v>0.19246617209031491</v>
      </c>
    </row>
    <row r="244" spans="2:4" x14ac:dyDescent="0.3">
      <c r="B244">
        <v>226</v>
      </c>
      <c r="C244" s="80">
        <v>202.20568829988929</v>
      </c>
      <c r="D244" s="81">
        <v>0.18734323542256015</v>
      </c>
    </row>
    <row r="245" spans="2:4" x14ac:dyDescent="0.3">
      <c r="B245">
        <v>227</v>
      </c>
      <c r="C245" s="80">
        <v>478.64476495865597</v>
      </c>
      <c r="D245" s="81">
        <v>0.30255133237018916</v>
      </c>
    </row>
    <row r="246" spans="2:4" x14ac:dyDescent="0.3">
      <c r="B246">
        <v>228</v>
      </c>
      <c r="C246" s="80">
        <v>663.18732731386012</v>
      </c>
      <c r="D246" s="81">
        <v>0.39686871261684109</v>
      </c>
    </row>
    <row r="247" spans="2:4" x14ac:dyDescent="0.3">
      <c r="B247">
        <v>229</v>
      </c>
      <c r="C247" s="80">
        <v>502.01611919609331</v>
      </c>
      <c r="D247" s="81">
        <v>0.30757617022483963</v>
      </c>
    </row>
    <row r="248" spans="2:4" x14ac:dyDescent="0.3">
      <c r="B248">
        <v>230</v>
      </c>
      <c r="C248" s="80">
        <v>353.96869358000151</v>
      </c>
      <c r="D248" s="81">
        <v>0.25318543737540455</v>
      </c>
    </row>
    <row r="249" spans="2:4" x14ac:dyDescent="0.3">
      <c r="B249">
        <v>231</v>
      </c>
      <c r="C249" s="80">
        <v>560.01902923703346</v>
      </c>
      <c r="D249" s="81">
        <v>0.33093481381273659</v>
      </c>
    </row>
    <row r="250" spans="2:4" x14ac:dyDescent="0.3">
      <c r="B250">
        <v>232</v>
      </c>
      <c r="C250" s="80">
        <v>202.62411294285971</v>
      </c>
      <c r="D250" s="81">
        <v>0.17889661912772326</v>
      </c>
    </row>
    <row r="251" spans="2:4" x14ac:dyDescent="0.3">
      <c r="B251">
        <v>233</v>
      </c>
      <c r="C251" s="80">
        <v>198.35464035610346</v>
      </c>
      <c r="D251" s="81">
        <v>0.17898181915911704</v>
      </c>
    </row>
    <row r="252" spans="2:4" x14ac:dyDescent="0.3">
      <c r="B252">
        <v>234</v>
      </c>
      <c r="C252" s="80">
        <v>481.65289240202333</v>
      </c>
      <c r="D252" s="81">
        <v>0.30374382545637157</v>
      </c>
    </row>
    <row r="253" spans="2:4" x14ac:dyDescent="0.3">
      <c r="B253">
        <v>235</v>
      </c>
      <c r="C253" s="80">
        <v>346.90660931898037</v>
      </c>
      <c r="D253" s="81">
        <v>0.24728639733782676</v>
      </c>
    </row>
    <row r="254" spans="2:4" x14ac:dyDescent="0.3">
      <c r="B254">
        <v>236</v>
      </c>
      <c r="C254" s="80">
        <v>386.11504258325022</v>
      </c>
      <c r="D254" s="81">
        <v>0.25767824753829016</v>
      </c>
    </row>
    <row r="255" spans="2:4" x14ac:dyDescent="0.3">
      <c r="B255">
        <v>237</v>
      </c>
      <c r="C255" s="80">
        <v>569.16492033698137</v>
      </c>
      <c r="D255" s="81">
        <v>0.37078674072023121</v>
      </c>
    </row>
    <row r="256" spans="2:4" x14ac:dyDescent="0.3">
      <c r="B256">
        <v>238</v>
      </c>
      <c r="C256" s="80">
        <v>512.80801447691033</v>
      </c>
      <c r="D256" s="81">
        <v>0.30504182675090252</v>
      </c>
    </row>
    <row r="257" spans="2:4" x14ac:dyDescent="0.3">
      <c r="B257">
        <v>239</v>
      </c>
      <c r="C257" s="80">
        <v>350.44571680411013</v>
      </c>
      <c r="D257" s="81">
        <v>0.24970672101016955</v>
      </c>
    </row>
    <row r="258" spans="2:4" x14ac:dyDescent="0.3">
      <c r="B258">
        <v>240</v>
      </c>
      <c r="C258" s="80">
        <v>558.91427187183035</v>
      </c>
      <c r="D258" s="81">
        <v>0.30592788424803175</v>
      </c>
    </row>
    <row r="259" spans="2:4" x14ac:dyDescent="0.3">
      <c r="B259">
        <v>241</v>
      </c>
      <c r="C259" s="80">
        <v>296.69836975890007</v>
      </c>
      <c r="D259" s="81">
        <v>0.23153198246024465</v>
      </c>
    </row>
    <row r="260" spans="2:4" x14ac:dyDescent="0.3">
      <c r="B260">
        <v>242</v>
      </c>
      <c r="C260" s="80">
        <v>684.01095134725506</v>
      </c>
      <c r="D260" s="81">
        <v>0.41524703232794957</v>
      </c>
    </row>
    <row r="261" spans="2:4" x14ac:dyDescent="0.3">
      <c r="B261">
        <v>243</v>
      </c>
      <c r="C261" s="80">
        <v>315.21917401736209</v>
      </c>
      <c r="D261" s="81">
        <v>0.24571210308079583</v>
      </c>
    </row>
    <row r="262" spans="2:4" x14ac:dyDescent="0.3">
      <c r="B262">
        <v>244</v>
      </c>
      <c r="C262" s="80">
        <v>612.96113104314099</v>
      </c>
      <c r="D262" s="81">
        <v>0.33004380084922591</v>
      </c>
    </row>
    <row r="263" spans="2:4" x14ac:dyDescent="0.3">
      <c r="B263">
        <v>245</v>
      </c>
      <c r="C263" s="80">
        <v>197.38268353758917</v>
      </c>
      <c r="D263" s="81">
        <v>0.19191223119212175</v>
      </c>
    </row>
    <row r="264" spans="2:4" x14ac:dyDescent="0.3">
      <c r="B264">
        <v>246</v>
      </c>
      <c r="C264" s="80">
        <v>509.04765992508214</v>
      </c>
      <c r="D264" s="81">
        <v>0.28848115902968297</v>
      </c>
    </row>
    <row r="265" spans="2:4" x14ac:dyDescent="0.3">
      <c r="B265">
        <v>247</v>
      </c>
      <c r="C265" s="80">
        <v>518.93666724747231</v>
      </c>
      <c r="D265" s="81">
        <v>0.32987222325267918</v>
      </c>
    </row>
    <row r="266" spans="2:4" x14ac:dyDescent="0.3">
      <c r="B266">
        <v>248</v>
      </c>
      <c r="C266" s="80">
        <v>183.19046470557589</v>
      </c>
      <c r="D266" s="81">
        <v>0.20788046076835243</v>
      </c>
    </row>
    <row r="267" spans="2:4" x14ac:dyDescent="0.3">
      <c r="B267">
        <v>249</v>
      </c>
      <c r="C267" s="80">
        <v>594.52684014559964</v>
      </c>
      <c r="D267" s="81">
        <v>0.36702427197811827</v>
      </c>
    </row>
    <row r="268" spans="2:4" x14ac:dyDescent="0.3">
      <c r="B268">
        <v>250</v>
      </c>
      <c r="C268" s="80">
        <v>437.71750358298698</v>
      </c>
      <c r="D268" s="81">
        <v>0.3148502530779631</v>
      </c>
    </row>
    <row r="269" spans="2:4" x14ac:dyDescent="0.3">
      <c r="B269">
        <v>251</v>
      </c>
      <c r="C269" s="80">
        <v>497.88130872533497</v>
      </c>
      <c r="D269" s="81">
        <v>0.32293380863030197</v>
      </c>
    </row>
    <row r="270" spans="2:4" x14ac:dyDescent="0.3">
      <c r="B270">
        <v>252</v>
      </c>
      <c r="C270" s="80">
        <v>307.04896579212618</v>
      </c>
      <c r="D270" s="81">
        <v>0.23984322045965545</v>
      </c>
    </row>
    <row r="271" spans="2:4" x14ac:dyDescent="0.3">
      <c r="B271">
        <v>253</v>
      </c>
      <c r="C271" s="80">
        <v>397.59351166944623</v>
      </c>
      <c r="D271" s="81">
        <v>0.29007538892599505</v>
      </c>
    </row>
    <row r="272" spans="2:4" x14ac:dyDescent="0.3">
      <c r="B272">
        <v>254</v>
      </c>
      <c r="C272" s="80">
        <v>448.97473079412634</v>
      </c>
      <c r="D272" s="81">
        <v>0.33712374904593223</v>
      </c>
    </row>
    <row r="273" spans="2:4" x14ac:dyDescent="0.3">
      <c r="B273">
        <v>255</v>
      </c>
      <c r="C273" s="80">
        <v>264.03304144203503</v>
      </c>
      <c r="D273" s="81">
        <v>0.22423142557713915</v>
      </c>
    </row>
    <row r="274" spans="2:4" x14ac:dyDescent="0.3">
      <c r="B274">
        <v>256</v>
      </c>
      <c r="C274" s="80">
        <v>258.3593966650717</v>
      </c>
      <c r="D274" s="81">
        <v>0.21194111641832314</v>
      </c>
    </row>
    <row r="275" spans="2:4" x14ac:dyDescent="0.3">
      <c r="B275">
        <v>257</v>
      </c>
      <c r="C275" s="80">
        <v>678.18786025563077</v>
      </c>
      <c r="D275" s="81">
        <v>0.40186703665099377</v>
      </c>
    </row>
    <row r="276" spans="2:4" x14ac:dyDescent="0.3">
      <c r="B276">
        <v>258</v>
      </c>
      <c r="C276" s="80">
        <v>113.03307067591788</v>
      </c>
      <c r="D276" s="81">
        <v>0.15282612471437651</v>
      </c>
    </row>
    <row r="277" spans="2:4" x14ac:dyDescent="0.3">
      <c r="B277">
        <v>259</v>
      </c>
      <c r="C277" s="80">
        <v>431.66723121950065</v>
      </c>
      <c r="D277" s="81">
        <v>0.28482593340554563</v>
      </c>
    </row>
    <row r="278" spans="2:4" x14ac:dyDescent="0.3">
      <c r="B278">
        <v>260</v>
      </c>
      <c r="C278" s="80">
        <v>154.522495168771</v>
      </c>
      <c r="D278" s="81">
        <v>0.18465139003680808</v>
      </c>
    </row>
    <row r="279" spans="2:4" x14ac:dyDescent="0.3">
      <c r="B279">
        <v>261</v>
      </c>
      <c r="C279" s="80">
        <v>482.22980956295305</v>
      </c>
      <c r="D279" s="81">
        <v>0.30841771040792199</v>
      </c>
    </row>
    <row r="280" spans="2:4" x14ac:dyDescent="0.3">
      <c r="B280">
        <v>262</v>
      </c>
      <c r="C280" s="80">
        <v>186.54423444866495</v>
      </c>
      <c r="D280" s="81">
        <v>0.20783304805861791</v>
      </c>
    </row>
    <row r="281" spans="2:4" x14ac:dyDescent="0.3">
      <c r="B281">
        <v>263</v>
      </c>
      <c r="C281" s="80">
        <v>-0.5411454959976254</v>
      </c>
      <c r="D281" s="81">
        <v>0.11478954935004659</v>
      </c>
    </row>
    <row r="282" spans="2:4" x14ac:dyDescent="0.3">
      <c r="B282">
        <v>264</v>
      </c>
      <c r="C282" s="80">
        <v>412.78844989101674</v>
      </c>
      <c r="D282" s="81">
        <v>0.27200118125903239</v>
      </c>
    </row>
    <row r="283" spans="2:4" x14ac:dyDescent="0.3">
      <c r="B283">
        <v>265</v>
      </c>
      <c r="C283" s="80">
        <v>492.01219408511247</v>
      </c>
      <c r="D283" s="81">
        <v>0.31226132246750371</v>
      </c>
    </row>
    <row r="284" spans="2:4" x14ac:dyDescent="0.3">
      <c r="B284">
        <v>266</v>
      </c>
      <c r="C284" s="80">
        <v>197.19784193350529</v>
      </c>
      <c r="D284" s="81">
        <v>0.20382146291972081</v>
      </c>
    </row>
    <row r="285" spans="2:4" x14ac:dyDescent="0.3">
      <c r="B285">
        <v>267</v>
      </c>
      <c r="C285" s="80">
        <v>371.20049489546477</v>
      </c>
      <c r="D285" s="81">
        <v>0.28056029077335665</v>
      </c>
    </row>
    <row r="286" spans="2:4" x14ac:dyDescent="0.3">
      <c r="B286">
        <v>268</v>
      </c>
      <c r="C286" s="80">
        <v>474.40121772335283</v>
      </c>
      <c r="D286" s="81">
        <v>0.28956386300349468</v>
      </c>
    </row>
    <row r="287" spans="2:4" x14ac:dyDescent="0.3">
      <c r="B287">
        <v>269</v>
      </c>
      <c r="C287" s="80">
        <v>395.56446271975017</v>
      </c>
      <c r="D287" s="81">
        <v>0.24942213808873515</v>
      </c>
    </row>
    <row r="288" spans="2:4" x14ac:dyDescent="0.3">
      <c r="B288">
        <v>270</v>
      </c>
      <c r="C288" s="80">
        <v>542.66925701642276</v>
      </c>
      <c r="D288" s="81">
        <v>0.33727251707267958</v>
      </c>
    </row>
    <row r="289" spans="2:4" x14ac:dyDescent="0.3">
      <c r="B289">
        <v>271</v>
      </c>
      <c r="C289" s="80">
        <v>314.07877258348526</v>
      </c>
      <c r="D289" s="81">
        <v>0.22139014836872617</v>
      </c>
    </row>
    <row r="290" spans="2:4" x14ac:dyDescent="0.3">
      <c r="B290">
        <v>272</v>
      </c>
      <c r="C290" s="80">
        <v>514.21409676719168</v>
      </c>
      <c r="D290" s="81">
        <v>0.34189773385247735</v>
      </c>
    </row>
    <row r="291" spans="2:4" x14ac:dyDescent="0.3">
      <c r="B291">
        <v>273</v>
      </c>
      <c r="C291" s="80">
        <v>688.27278798311136</v>
      </c>
      <c r="D291" s="81">
        <v>0.35079951728673642</v>
      </c>
    </row>
    <row r="292" spans="2:4" x14ac:dyDescent="0.3">
      <c r="B292">
        <v>274</v>
      </c>
      <c r="C292" s="80">
        <v>441.13953187955065</v>
      </c>
      <c r="D292" s="81">
        <v>0.27372682639445522</v>
      </c>
    </row>
    <row r="293" spans="2:4" x14ac:dyDescent="0.3">
      <c r="B293">
        <v>275</v>
      </c>
      <c r="C293" s="80">
        <v>534.92491279901992</v>
      </c>
      <c r="D293" s="81">
        <v>0.30059984166785769</v>
      </c>
    </row>
    <row r="294" spans="2:4" x14ac:dyDescent="0.3">
      <c r="B294">
        <v>276</v>
      </c>
      <c r="C294" s="80">
        <v>92.603671745693646</v>
      </c>
      <c r="D294" s="81">
        <v>0.15008824684872235</v>
      </c>
    </row>
    <row r="295" spans="2:4" x14ac:dyDescent="0.3">
      <c r="B295">
        <v>277</v>
      </c>
      <c r="C295" s="80">
        <v>506.84942472766738</v>
      </c>
      <c r="D295" s="81">
        <v>0.35850349527812675</v>
      </c>
    </row>
    <row r="296" spans="2:4" x14ac:dyDescent="0.3">
      <c r="B296">
        <v>278</v>
      </c>
      <c r="C296" s="80">
        <v>389.53905270969483</v>
      </c>
      <c r="D296" s="81">
        <v>0.26956650340207222</v>
      </c>
    </row>
    <row r="297" spans="2:4" x14ac:dyDescent="0.3">
      <c r="B297">
        <v>279</v>
      </c>
      <c r="C297" s="80">
        <v>339.79517857653559</v>
      </c>
      <c r="D297" s="81">
        <v>0.27567810973832185</v>
      </c>
    </row>
    <row r="298" spans="2:4" x14ac:dyDescent="0.3">
      <c r="B298">
        <v>280</v>
      </c>
      <c r="C298" s="80">
        <v>167.72581783761427</v>
      </c>
      <c r="D298" s="81">
        <v>0.17563971736958672</v>
      </c>
    </row>
    <row r="299" spans="2:4" x14ac:dyDescent="0.3">
      <c r="B299">
        <v>281</v>
      </c>
      <c r="C299" s="80">
        <v>479.13999430104968</v>
      </c>
      <c r="D299" s="81">
        <v>0.33860865878045709</v>
      </c>
    </row>
    <row r="300" spans="2:4" x14ac:dyDescent="0.3">
      <c r="B300">
        <v>282</v>
      </c>
      <c r="C300" s="80">
        <v>239.74542056056714</v>
      </c>
      <c r="D300" s="81">
        <v>0.19490428339142851</v>
      </c>
    </row>
    <row r="301" spans="2:4" x14ac:dyDescent="0.3">
      <c r="B301">
        <v>283</v>
      </c>
      <c r="C301" s="80">
        <v>645.41156251598159</v>
      </c>
      <c r="D301" s="81">
        <v>0.36757940611958695</v>
      </c>
    </row>
    <row r="302" spans="2:4" x14ac:dyDescent="0.3">
      <c r="B302">
        <v>284</v>
      </c>
      <c r="C302" s="80">
        <v>161.22685048012136</v>
      </c>
      <c r="D302" s="81">
        <v>0.1784442787648941</v>
      </c>
    </row>
    <row r="303" spans="2:4" x14ac:dyDescent="0.3">
      <c r="B303">
        <v>285</v>
      </c>
      <c r="C303" s="80">
        <v>552.73439727233904</v>
      </c>
      <c r="D303" s="81">
        <v>0.31961331958425698</v>
      </c>
    </row>
    <row r="304" spans="2:4" x14ac:dyDescent="0.3">
      <c r="B304">
        <v>286</v>
      </c>
      <c r="C304" s="80">
        <v>449.11465678845673</v>
      </c>
      <c r="D304" s="81">
        <v>0.32000230344756342</v>
      </c>
    </row>
    <row r="305" spans="2:4" x14ac:dyDescent="0.3">
      <c r="B305">
        <v>287</v>
      </c>
      <c r="C305" s="80">
        <v>151.84676760830223</v>
      </c>
      <c r="D305" s="81">
        <v>0.17645025090902022</v>
      </c>
    </row>
    <row r="306" spans="2:4" x14ac:dyDescent="0.3">
      <c r="B306">
        <v>288</v>
      </c>
      <c r="C306" s="80">
        <v>814.91074795132317</v>
      </c>
      <c r="D306" s="81">
        <v>0.51622246117066362</v>
      </c>
    </row>
    <row r="307" spans="2:4" x14ac:dyDescent="0.3">
      <c r="B307">
        <v>289</v>
      </c>
      <c r="C307" s="80">
        <v>508.79081745887811</v>
      </c>
      <c r="D307" s="81">
        <v>0.32177550142220901</v>
      </c>
    </row>
    <row r="308" spans="2:4" x14ac:dyDescent="0.3">
      <c r="B308">
        <v>290</v>
      </c>
      <c r="C308" s="80">
        <v>583.72973301742104</v>
      </c>
      <c r="D308" s="81">
        <v>0.34511132859980975</v>
      </c>
    </row>
    <row r="309" spans="2:4" x14ac:dyDescent="0.3">
      <c r="B309">
        <v>291</v>
      </c>
      <c r="C309" s="80">
        <v>448.00437437961</v>
      </c>
      <c r="D309" s="81">
        <v>0.28292869462731551</v>
      </c>
    </row>
    <row r="310" spans="2:4" x14ac:dyDescent="0.3">
      <c r="B310">
        <v>292</v>
      </c>
      <c r="C310" s="80">
        <v>206.30725411595256</v>
      </c>
      <c r="D310" s="81">
        <v>0.20028379619195968</v>
      </c>
    </row>
    <row r="311" spans="2:4" x14ac:dyDescent="0.3">
      <c r="B311">
        <v>293</v>
      </c>
      <c r="C311" s="80">
        <v>314.13498332768654</v>
      </c>
      <c r="D311" s="81">
        <v>0.24157574307909857</v>
      </c>
    </row>
    <row r="312" spans="2:4" x14ac:dyDescent="0.3">
      <c r="B312">
        <v>294</v>
      </c>
      <c r="C312" s="80">
        <v>133.15844944458729</v>
      </c>
      <c r="D312" s="81">
        <v>0.16714061744101838</v>
      </c>
    </row>
    <row r="313" spans="2:4" x14ac:dyDescent="0.3">
      <c r="B313">
        <v>295</v>
      </c>
      <c r="C313" s="80">
        <v>573.32704551853635</v>
      </c>
      <c r="D313" s="81">
        <v>0.31697224012762182</v>
      </c>
    </row>
    <row r="314" spans="2:4" x14ac:dyDescent="0.3">
      <c r="B314">
        <v>296</v>
      </c>
      <c r="C314" s="80">
        <v>582.5797081457365</v>
      </c>
      <c r="D314" s="81">
        <v>0.35056525137840455</v>
      </c>
    </row>
    <row r="315" spans="2:4" x14ac:dyDescent="0.3">
      <c r="B315">
        <v>297</v>
      </c>
      <c r="C315" s="80">
        <v>553.37574842602817</v>
      </c>
      <c r="D315" s="81">
        <v>0.3124355903535776</v>
      </c>
    </row>
    <row r="316" spans="2:4" x14ac:dyDescent="0.3">
      <c r="B316">
        <v>298</v>
      </c>
      <c r="C316" s="80">
        <v>574.95449222810339</v>
      </c>
      <c r="D316" s="81">
        <v>0.32070886812743615</v>
      </c>
    </row>
    <row r="317" spans="2:4" x14ac:dyDescent="0.3">
      <c r="B317">
        <v>299</v>
      </c>
      <c r="C317" s="80">
        <v>427.86898142941504</v>
      </c>
      <c r="D317" s="81">
        <v>0.30595298701549689</v>
      </c>
    </row>
    <row r="318" spans="2:4" x14ac:dyDescent="0.3">
      <c r="B318">
        <v>300</v>
      </c>
      <c r="C318" s="80">
        <v>697.36977004172672</v>
      </c>
      <c r="D318" s="81">
        <v>0.39639221872524111</v>
      </c>
    </row>
    <row r="319" spans="2:4" x14ac:dyDescent="0.3">
      <c r="B319">
        <v>301</v>
      </c>
      <c r="C319" s="80">
        <v>166.74293410582686</v>
      </c>
      <c r="D319" s="81">
        <v>0.17277237110923127</v>
      </c>
    </row>
    <row r="320" spans="2:4" x14ac:dyDescent="0.3">
      <c r="B320">
        <v>302</v>
      </c>
      <c r="C320" s="80">
        <v>643.31883930959407</v>
      </c>
      <c r="D320" s="81">
        <v>0.34439904299631463</v>
      </c>
    </row>
    <row r="321" spans="2:4" x14ac:dyDescent="0.3">
      <c r="B321">
        <v>303</v>
      </c>
      <c r="C321" s="80">
        <v>257.77662272600082</v>
      </c>
      <c r="D321" s="81">
        <v>0.19618486004097679</v>
      </c>
    </row>
    <row r="322" spans="2:4" x14ac:dyDescent="0.3">
      <c r="B322">
        <v>304</v>
      </c>
      <c r="C322" s="80">
        <v>329.78380052459102</v>
      </c>
      <c r="D322" s="81">
        <v>0.28802322444783579</v>
      </c>
    </row>
    <row r="323" spans="2:4" x14ac:dyDescent="0.3">
      <c r="B323">
        <v>305</v>
      </c>
      <c r="C323" s="80">
        <v>290.79676679900069</v>
      </c>
      <c r="D323" s="81">
        <v>0.22524137912691189</v>
      </c>
    </row>
    <row r="324" spans="2:4" x14ac:dyDescent="0.3">
      <c r="B324">
        <v>306</v>
      </c>
      <c r="C324" s="80">
        <v>402.20863126253244</v>
      </c>
      <c r="D324" s="81">
        <v>0.28910809333105969</v>
      </c>
    </row>
    <row r="325" spans="2:4" x14ac:dyDescent="0.3">
      <c r="B325">
        <v>307</v>
      </c>
      <c r="C325" s="80">
        <v>479.36584707427141</v>
      </c>
      <c r="D325" s="81">
        <v>0.25913500711560578</v>
      </c>
    </row>
    <row r="326" spans="2:4" x14ac:dyDescent="0.3">
      <c r="B326">
        <v>308</v>
      </c>
      <c r="C326" s="80">
        <v>328.59200610096991</v>
      </c>
      <c r="D326" s="81">
        <v>0.23730418207415038</v>
      </c>
    </row>
    <row r="327" spans="2:4" x14ac:dyDescent="0.3">
      <c r="B327">
        <v>309</v>
      </c>
      <c r="C327" s="80">
        <v>747.04811932628741</v>
      </c>
      <c r="D327" s="81">
        <v>0.41393950809337654</v>
      </c>
    </row>
    <row r="328" spans="2:4" x14ac:dyDescent="0.3">
      <c r="B328">
        <v>310</v>
      </c>
      <c r="C328" s="80">
        <v>378.66570840914915</v>
      </c>
      <c r="D328" s="81">
        <v>0.2611749703963937</v>
      </c>
    </row>
    <row r="329" spans="2:4" x14ac:dyDescent="0.3">
      <c r="B329">
        <v>311</v>
      </c>
      <c r="C329" s="80">
        <v>257.23234916577439</v>
      </c>
      <c r="D329" s="81">
        <v>0.22243522234006563</v>
      </c>
    </row>
    <row r="330" spans="2:4" x14ac:dyDescent="0.3">
      <c r="B330">
        <v>312</v>
      </c>
      <c r="C330" s="80">
        <v>245.88063809709433</v>
      </c>
      <c r="D330" s="81">
        <v>0.22606525768546382</v>
      </c>
    </row>
    <row r="331" spans="2:4" x14ac:dyDescent="0.3">
      <c r="B331">
        <v>313</v>
      </c>
      <c r="C331" s="80">
        <v>48.50705535013401</v>
      </c>
      <c r="D331" s="81">
        <v>0.13608117856240876</v>
      </c>
    </row>
    <row r="332" spans="2:4" x14ac:dyDescent="0.3">
      <c r="B332">
        <v>314</v>
      </c>
      <c r="C332" s="80">
        <v>421.26800584421915</v>
      </c>
      <c r="D332" s="81">
        <v>0.26865158484042295</v>
      </c>
    </row>
    <row r="333" spans="2:4" x14ac:dyDescent="0.3">
      <c r="B333">
        <v>315</v>
      </c>
      <c r="C333" s="80">
        <v>379.81550116370545</v>
      </c>
      <c r="D333" s="81">
        <v>0.29705736781348269</v>
      </c>
    </row>
    <row r="334" spans="2:4" x14ac:dyDescent="0.3">
      <c r="B334">
        <v>316</v>
      </c>
      <c r="C334" s="80">
        <v>252.60783436062775</v>
      </c>
      <c r="D334" s="81">
        <v>0.23042023988046978</v>
      </c>
    </row>
    <row r="335" spans="2:4" x14ac:dyDescent="0.3">
      <c r="B335">
        <v>317</v>
      </c>
      <c r="C335" s="80">
        <v>482.8073933600208</v>
      </c>
      <c r="D335" s="81">
        <v>0.32406885796270135</v>
      </c>
    </row>
    <row r="336" spans="2:4" x14ac:dyDescent="0.3">
      <c r="B336">
        <v>318</v>
      </c>
      <c r="C336" s="80">
        <v>600.7484440717385</v>
      </c>
      <c r="D336" s="81">
        <v>0.34282307347469465</v>
      </c>
    </row>
    <row r="337" spans="2:4" x14ac:dyDescent="0.3">
      <c r="B337">
        <v>319</v>
      </c>
      <c r="C337" s="80">
        <v>-23.2108501099367</v>
      </c>
      <c r="D337" s="81">
        <v>0.10782654027178551</v>
      </c>
    </row>
    <row r="338" spans="2:4" x14ac:dyDescent="0.3">
      <c r="B338">
        <v>320</v>
      </c>
      <c r="C338" s="80">
        <v>630.84701734832265</v>
      </c>
      <c r="D338" s="81">
        <v>0.36213265705211373</v>
      </c>
    </row>
    <row r="339" spans="2:4" x14ac:dyDescent="0.3">
      <c r="B339">
        <v>321</v>
      </c>
      <c r="C339" s="80">
        <v>452.12202943237742</v>
      </c>
      <c r="D339" s="81">
        <v>0.26658365029456599</v>
      </c>
    </row>
    <row r="340" spans="2:4" x14ac:dyDescent="0.3">
      <c r="B340">
        <v>322</v>
      </c>
      <c r="C340" s="80">
        <v>832.42453545823855</v>
      </c>
      <c r="D340" s="81">
        <v>0.43722746682576275</v>
      </c>
    </row>
    <row r="341" spans="2:4" x14ac:dyDescent="0.3">
      <c r="B341">
        <v>323</v>
      </c>
      <c r="C341" s="80">
        <v>652.433624869906</v>
      </c>
      <c r="D341" s="81">
        <v>0.3893288200093683</v>
      </c>
    </row>
    <row r="342" spans="2:4" x14ac:dyDescent="0.3">
      <c r="B342">
        <v>324</v>
      </c>
      <c r="C342" s="80">
        <v>370.55068276015891</v>
      </c>
      <c r="D342" s="81">
        <v>0.2583582190041287</v>
      </c>
    </row>
    <row r="343" spans="2:4" x14ac:dyDescent="0.3">
      <c r="B343">
        <v>325</v>
      </c>
      <c r="C343" s="80">
        <v>443.27413998617772</v>
      </c>
      <c r="D343" s="81">
        <v>0.29886834383104022</v>
      </c>
    </row>
    <row r="344" spans="2:4" x14ac:dyDescent="0.3">
      <c r="B344">
        <v>326</v>
      </c>
      <c r="C344" s="80">
        <v>694.07165143507586</v>
      </c>
      <c r="D344" s="81">
        <v>0.33399084974491644</v>
      </c>
    </row>
    <row r="345" spans="2:4" x14ac:dyDescent="0.3">
      <c r="B345">
        <v>327</v>
      </c>
      <c r="C345" s="80">
        <v>247.23324568484054</v>
      </c>
      <c r="D345" s="81">
        <v>0.21800830879670685</v>
      </c>
    </row>
    <row r="346" spans="2:4" x14ac:dyDescent="0.3">
      <c r="B346">
        <v>328</v>
      </c>
      <c r="C346" s="80">
        <v>567.04499810293578</v>
      </c>
      <c r="D346" s="81">
        <v>0.35792627284032386</v>
      </c>
    </row>
    <row r="347" spans="2:4" x14ac:dyDescent="0.3">
      <c r="B347">
        <v>329</v>
      </c>
      <c r="C347" s="80">
        <v>575.34199039277769</v>
      </c>
      <c r="D347" s="81">
        <v>0.3264781610656069</v>
      </c>
    </row>
    <row r="348" spans="2:4" x14ac:dyDescent="0.3">
      <c r="B348">
        <v>330</v>
      </c>
      <c r="C348" s="80">
        <v>321.48941054989893</v>
      </c>
      <c r="D348" s="81">
        <v>0.21765396766542788</v>
      </c>
    </row>
    <row r="349" spans="2:4" x14ac:dyDescent="0.3">
      <c r="B349">
        <v>331</v>
      </c>
      <c r="C349" s="80">
        <v>379.64955085367524</v>
      </c>
      <c r="D349" s="81">
        <v>0.25920563036358701</v>
      </c>
    </row>
    <row r="350" spans="2:4" x14ac:dyDescent="0.3">
      <c r="B350">
        <v>332</v>
      </c>
      <c r="C350" s="80">
        <v>384.50578131989027</v>
      </c>
      <c r="D350" s="81">
        <v>0.30118602868663769</v>
      </c>
    </row>
    <row r="351" spans="2:4" x14ac:dyDescent="0.3">
      <c r="B351">
        <v>333</v>
      </c>
      <c r="C351" s="80">
        <v>364.25184809519408</v>
      </c>
      <c r="D351" s="81">
        <v>0.26039520151145434</v>
      </c>
    </row>
    <row r="352" spans="2:4" x14ac:dyDescent="0.3">
      <c r="B352">
        <v>334</v>
      </c>
      <c r="C352" s="80">
        <v>455.71244848266986</v>
      </c>
      <c r="D352" s="81">
        <v>0.25118867222211638</v>
      </c>
    </row>
    <row r="353" spans="2:4" x14ac:dyDescent="0.3">
      <c r="B353">
        <v>335</v>
      </c>
      <c r="C353" s="80">
        <v>84.83836723943341</v>
      </c>
      <c r="D353" s="81">
        <v>0.14836919114460256</v>
      </c>
    </row>
    <row r="354" spans="2:4" x14ac:dyDescent="0.3">
      <c r="B354">
        <v>336</v>
      </c>
      <c r="C354" s="80">
        <v>663.66340864401877</v>
      </c>
      <c r="D354" s="81">
        <v>0.34724577597274697</v>
      </c>
    </row>
    <row r="355" spans="2:4" x14ac:dyDescent="0.3">
      <c r="B355">
        <v>337</v>
      </c>
      <c r="C355" s="80">
        <v>261.155795695954</v>
      </c>
      <c r="D355" s="81">
        <v>0.20721953445105634</v>
      </c>
    </row>
    <row r="356" spans="2:4" x14ac:dyDescent="0.3">
      <c r="B356">
        <v>338</v>
      </c>
      <c r="C356" s="80">
        <v>660.13866881364379</v>
      </c>
      <c r="D356" s="81">
        <v>0.38585484263556147</v>
      </c>
    </row>
    <row r="357" spans="2:4" x14ac:dyDescent="0.3">
      <c r="B357">
        <v>339</v>
      </c>
      <c r="C357" s="80">
        <v>297.13848101377914</v>
      </c>
      <c r="D357" s="81">
        <v>0.22301928470517618</v>
      </c>
    </row>
    <row r="358" spans="2:4" x14ac:dyDescent="0.3">
      <c r="B358">
        <v>340</v>
      </c>
      <c r="C358" s="80">
        <v>348.21003673115206</v>
      </c>
      <c r="D358" s="81">
        <v>0.24326482566690077</v>
      </c>
    </row>
    <row r="359" spans="2:4" x14ac:dyDescent="0.3">
      <c r="B359">
        <v>341</v>
      </c>
      <c r="C359" s="80">
        <v>577.66523998285152</v>
      </c>
      <c r="D359" s="81">
        <v>0.34396553759837145</v>
      </c>
    </row>
    <row r="360" spans="2:4" x14ac:dyDescent="0.3">
      <c r="B360">
        <v>342</v>
      </c>
      <c r="C360" s="80">
        <v>780.58548878780198</v>
      </c>
      <c r="D360" s="81">
        <v>0.41050089973515447</v>
      </c>
    </row>
    <row r="361" spans="2:4" x14ac:dyDescent="0.3">
      <c r="B361">
        <v>343</v>
      </c>
      <c r="C361" s="80">
        <v>459.66223031821289</v>
      </c>
      <c r="D361" s="81">
        <v>0.29062757836189324</v>
      </c>
    </row>
    <row r="362" spans="2:4" x14ac:dyDescent="0.3">
      <c r="B362">
        <v>344</v>
      </c>
      <c r="C362" s="80">
        <v>378.51608982454366</v>
      </c>
      <c r="D362" s="81">
        <v>0.25550508318163234</v>
      </c>
    </row>
    <row r="363" spans="2:4" x14ac:dyDescent="0.3">
      <c r="B363">
        <v>345</v>
      </c>
      <c r="C363" s="80">
        <v>344.26237997832197</v>
      </c>
      <c r="D363" s="81">
        <v>0.25730289428102249</v>
      </c>
    </row>
    <row r="364" spans="2:4" x14ac:dyDescent="0.3">
      <c r="B364">
        <v>346</v>
      </c>
      <c r="C364" s="80">
        <v>612.64440959157173</v>
      </c>
      <c r="D364" s="81">
        <v>0.34936624152175866</v>
      </c>
    </row>
    <row r="365" spans="2:4" x14ac:dyDescent="0.3">
      <c r="B365">
        <v>347</v>
      </c>
      <c r="C365" s="80">
        <v>392.22030170308892</v>
      </c>
      <c r="D365" s="81">
        <v>0.3095745254829827</v>
      </c>
    </row>
    <row r="366" spans="2:4" x14ac:dyDescent="0.3">
      <c r="B366">
        <v>348</v>
      </c>
      <c r="C366" s="80">
        <v>335.81441261651742</v>
      </c>
      <c r="D366" s="81">
        <v>0.2656023602634392</v>
      </c>
    </row>
    <row r="367" spans="2:4" x14ac:dyDescent="0.3">
      <c r="B367">
        <v>349</v>
      </c>
      <c r="C367" s="80">
        <v>549.3963592198636</v>
      </c>
      <c r="D367" s="81">
        <v>0.31257311908661856</v>
      </c>
    </row>
    <row r="368" spans="2:4" x14ac:dyDescent="0.3">
      <c r="B368">
        <v>350</v>
      </c>
      <c r="C368" s="80">
        <v>524.90529233141888</v>
      </c>
      <c r="D368" s="81">
        <v>0.33578000988976342</v>
      </c>
    </row>
    <row r="369" spans="2:4" x14ac:dyDescent="0.3">
      <c r="B369">
        <v>351</v>
      </c>
      <c r="C369" s="80">
        <v>443.9536378707254</v>
      </c>
      <c r="D369" s="81">
        <v>0.29020137808834323</v>
      </c>
    </row>
    <row r="370" spans="2:4" x14ac:dyDescent="0.3">
      <c r="B370">
        <v>352</v>
      </c>
      <c r="C370" s="80">
        <v>262.65720479394986</v>
      </c>
      <c r="D370" s="81">
        <v>0.23685381511824732</v>
      </c>
    </row>
    <row r="371" spans="2:4" x14ac:dyDescent="0.3">
      <c r="B371">
        <v>353</v>
      </c>
      <c r="C371" s="80">
        <v>353.04231750777979</v>
      </c>
      <c r="D371" s="81">
        <v>0.27189968763587702</v>
      </c>
    </row>
    <row r="372" spans="2:4" x14ac:dyDescent="0.3">
      <c r="B372">
        <v>354</v>
      </c>
      <c r="C372" s="80">
        <v>60.788276843038034</v>
      </c>
      <c r="D372" s="81">
        <v>0.13473604068221712</v>
      </c>
    </row>
    <row r="373" spans="2:4" x14ac:dyDescent="0.3">
      <c r="B373">
        <v>355</v>
      </c>
      <c r="C373" s="80">
        <v>469.07050220407746</v>
      </c>
      <c r="D373" s="81">
        <v>0.28256535341152555</v>
      </c>
    </row>
    <row r="374" spans="2:4" x14ac:dyDescent="0.3">
      <c r="B374">
        <v>356</v>
      </c>
      <c r="C374" s="80">
        <v>343.55188628839289</v>
      </c>
      <c r="D374" s="81">
        <v>0.26892664655484921</v>
      </c>
    </row>
    <row r="375" spans="2:4" x14ac:dyDescent="0.3">
      <c r="B375">
        <v>357</v>
      </c>
      <c r="C375" s="80">
        <v>301.53946273749341</v>
      </c>
      <c r="D375" s="81">
        <v>0.24760985842440197</v>
      </c>
    </row>
    <row r="376" spans="2:4" x14ac:dyDescent="0.3">
      <c r="B376">
        <v>358</v>
      </c>
      <c r="C376" s="80">
        <v>387.78177353667854</v>
      </c>
      <c r="D376" s="81">
        <v>0.27247090214858916</v>
      </c>
    </row>
    <row r="377" spans="2:4" x14ac:dyDescent="0.3">
      <c r="B377">
        <v>359</v>
      </c>
      <c r="C377" s="80">
        <v>377.73300023194201</v>
      </c>
      <c r="D377" s="81">
        <v>0.2363600378147237</v>
      </c>
    </row>
    <row r="378" spans="2:4" x14ac:dyDescent="0.3">
      <c r="B378">
        <v>360</v>
      </c>
      <c r="C378" s="80">
        <v>-224.24208403834155</v>
      </c>
      <c r="D378" s="81">
        <v>-6.7253762808072159E-2</v>
      </c>
    </row>
    <row r="379" spans="2:4" x14ac:dyDescent="0.3">
      <c r="B379">
        <v>361</v>
      </c>
      <c r="C379" s="80">
        <v>356.0858482313273</v>
      </c>
      <c r="D379" s="81">
        <v>0.27842080866036012</v>
      </c>
    </row>
    <row r="380" spans="2:4" x14ac:dyDescent="0.3">
      <c r="B380">
        <v>362</v>
      </c>
      <c r="C380" s="80">
        <v>753.48321249522678</v>
      </c>
      <c r="D380" s="81">
        <v>0.39531004924565916</v>
      </c>
    </row>
    <row r="381" spans="2:4" x14ac:dyDescent="0.3">
      <c r="B381">
        <v>363</v>
      </c>
      <c r="C381" s="80">
        <v>447.30955248225143</v>
      </c>
      <c r="D381" s="81">
        <v>0.30879391792132016</v>
      </c>
    </row>
    <row r="382" spans="2:4" x14ac:dyDescent="0.3">
      <c r="B382">
        <v>364</v>
      </c>
      <c r="C382" s="80">
        <v>32.897666836866506</v>
      </c>
      <c r="D382" s="81">
        <v>0.12848709509088452</v>
      </c>
    </row>
    <row r="383" spans="2:4" x14ac:dyDescent="0.3">
      <c r="B383">
        <v>365</v>
      </c>
      <c r="C383" s="80">
        <v>437.32668098890008</v>
      </c>
      <c r="D383" s="81">
        <v>0.29295760111800817</v>
      </c>
    </row>
    <row r="384" spans="2:4" x14ac:dyDescent="0.3">
      <c r="B384">
        <v>366</v>
      </c>
      <c r="C384" s="80">
        <v>158.2183935212397</v>
      </c>
      <c r="D384" s="81">
        <v>0.15839823550619303</v>
      </c>
    </row>
    <row r="385" spans="2:4" x14ac:dyDescent="0.3">
      <c r="B385">
        <v>367</v>
      </c>
      <c r="C385" s="80">
        <v>145.81001150868758</v>
      </c>
      <c r="D385" s="81">
        <v>0.18923321035305141</v>
      </c>
    </row>
    <row r="386" spans="2:4" x14ac:dyDescent="0.3">
      <c r="B386">
        <v>368</v>
      </c>
      <c r="C386" s="80">
        <v>366.66377734911532</v>
      </c>
      <c r="D386" s="81">
        <v>0.25365248352220626</v>
      </c>
    </row>
    <row r="387" spans="2:4" x14ac:dyDescent="0.3">
      <c r="B387">
        <v>369</v>
      </c>
      <c r="C387" s="80">
        <v>97.741988970385478</v>
      </c>
      <c r="D387" s="81">
        <v>0.1503961094835693</v>
      </c>
    </row>
    <row r="388" spans="2:4" x14ac:dyDescent="0.3">
      <c r="B388">
        <v>370</v>
      </c>
      <c r="C388" s="80">
        <v>350.81352701098342</v>
      </c>
      <c r="D388" s="81">
        <v>0.27559419987893619</v>
      </c>
    </row>
    <row r="389" spans="2:4" x14ac:dyDescent="0.3">
      <c r="B389">
        <v>371</v>
      </c>
      <c r="C389" s="80">
        <v>455.66164447707774</v>
      </c>
      <c r="D389" s="81">
        <v>0.31542163097554643</v>
      </c>
    </row>
    <row r="390" spans="2:4" x14ac:dyDescent="0.3">
      <c r="B390">
        <v>372</v>
      </c>
      <c r="C390" s="80">
        <v>432.48969736644358</v>
      </c>
      <c r="D390" s="81">
        <v>0.31356001661280142</v>
      </c>
    </row>
    <row r="391" spans="2:4" x14ac:dyDescent="0.3">
      <c r="B391">
        <v>373</v>
      </c>
      <c r="C391" s="80">
        <v>496.00042974522967</v>
      </c>
      <c r="D391" s="81">
        <v>0.30845408366233906</v>
      </c>
    </row>
    <row r="392" spans="2:4" x14ac:dyDescent="0.3">
      <c r="B392">
        <v>374</v>
      </c>
      <c r="C392" s="80">
        <v>622.06238968699813</v>
      </c>
      <c r="D392" s="81">
        <v>0.34935351902130929</v>
      </c>
    </row>
    <row r="393" spans="2:4" x14ac:dyDescent="0.3">
      <c r="B393">
        <v>375</v>
      </c>
      <c r="C393" s="80">
        <v>484.59763230795215</v>
      </c>
      <c r="D393" s="81">
        <v>0.2813979942821172</v>
      </c>
    </row>
    <row r="394" spans="2:4" x14ac:dyDescent="0.3">
      <c r="B394">
        <v>376</v>
      </c>
      <c r="C394" s="80">
        <v>266.61106960516781</v>
      </c>
      <c r="D394" s="81">
        <v>0.22469233392814236</v>
      </c>
    </row>
    <row r="395" spans="2:4" x14ac:dyDescent="0.3">
      <c r="B395">
        <v>377</v>
      </c>
      <c r="C395" s="80">
        <v>223.20653428573939</v>
      </c>
      <c r="D395" s="81">
        <v>0.21149564769443163</v>
      </c>
    </row>
    <row r="396" spans="2:4" x14ac:dyDescent="0.3">
      <c r="B396">
        <v>378</v>
      </c>
      <c r="C396" s="80">
        <v>720.70183197397023</v>
      </c>
      <c r="D396" s="81">
        <v>0.40528278162330822</v>
      </c>
    </row>
    <row r="397" spans="2:4" x14ac:dyDescent="0.3">
      <c r="B397">
        <v>379</v>
      </c>
      <c r="C397" s="80">
        <v>451.36624602628956</v>
      </c>
      <c r="D397" s="81">
        <v>0.30562407797683067</v>
      </c>
    </row>
    <row r="398" spans="2:4" x14ac:dyDescent="0.3">
      <c r="B398">
        <v>380</v>
      </c>
      <c r="C398" s="80">
        <v>401.09634808714429</v>
      </c>
      <c r="D398" s="81">
        <v>0.28697624790952614</v>
      </c>
    </row>
    <row r="399" spans="2:4" x14ac:dyDescent="0.3">
      <c r="B399">
        <v>381</v>
      </c>
      <c r="C399" s="80">
        <v>475.44705314472571</v>
      </c>
      <c r="D399" s="81">
        <v>0.26807060510314429</v>
      </c>
    </row>
    <row r="400" spans="2:4" x14ac:dyDescent="0.3">
      <c r="B400">
        <v>382</v>
      </c>
      <c r="C400" s="80">
        <v>427.80701938445259</v>
      </c>
      <c r="D400" s="81">
        <v>0.27001960609255438</v>
      </c>
    </row>
    <row r="401" spans="2:4" x14ac:dyDescent="0.3">
      <c r="B401">
        <v>383</v>
      </c>
      <c r="C401" s="80">
        <v>296.82522684713354</v>
      </c>
      <c r="D401" s="81">
        <v>0.22835272776363902</v>
      </c>
    </row>
    <row r="402" spans="2:4" x14ac:dyDescent="0.3">
      <c r="B402">
        <v>384</v>
      </c>
      <c r="C402" s="80">
        <v>541.22286973990867</v>
      </c>
      <c r="D402" s="81">
        <v>0.31745204364325041</v>
      </c>
    </row>
    <row r="403" spans="2:4" x14ac:dyDescent="0.3">
      <c r="B403">
        <v>385</v>
      </c>
      <c r="C403" s="80">
        <v>524.26598810262385</v>
      </c>
      <c r="D403" s="81">
        <v>0.28538006985851805</v>
      </c>
    </row>
    <row r="404" spans="2:4" x14ac:dyDescent="0.3">
      <c r="B404">
        <v>386</v>
      </c>
      <c r="C404" s="80">
        <v>235.02602422535347</v>
      </c>
      <c r="D404" s="81">
        <v>0.21187871101078448</v>
      </c>
    </row>
    <row r="405" spans="2:4" x14ac:dyDescent="0.3">
      <c r="B405">
        <v>387</v>
      </c>
      <c r="C405" s="80">
        <v>45.79217367043384</v>
      </c>
      <c r="D405" s="81">
        <v>0.133628661286745</v>
      </c>
    </row>
    <row r="406" spans="2:4" x14ac:dyDescent="0.3">
      <c r="B406">
        <v>388</v>
      </c>
      <c r="C406" s="80">
        <v>621.96721314527554</v>
      </c>
      <c r="D406" s="81">
        <v>0.39176423885421485</v>
      </c>
    </row>
    <row r="407" spans="2:4" x14ac:dyDescent="0.3">
      <c r="B407">
        <v>389</v>
      </c>
      <c r="C407" s="80">
        <v>416.03988666379689</v>
      </c>
      <c r="D407" s="81">
        <v>0.26952171199980413</v>
      </c>
    </row>
    <row r="408" spans="2:4" x14ac:dyDescent="0.3">
      <c r="B408">
        <v>390</v>
      </c>
      <c r="C408" s="80">
        <v>505.59239578246593</v>
      </c>
      <c r="D408" s="81">
        <v>0.31159545617255069</v>
      </c>
    </row>
    <row r="409" spans="2:4" x14ac:dyDescent="0.3">
      <c r="B409">
        <v>391</v>
      </c>
      <c r="C409" s="80">
        <v>161.89854101627293</v>
      </c>
      <c r="D409" s="81">
        <v>0.18297304863002006</v>
      </c>
    </row>
    <row r="410" spans="2:4" x14ac:dyDescent="0.3">
      <c r="B410">
        <v>392</v>
      </c>
      <c r="C410" s="80">
        <v>260.92059082508013</v>
      </c>
      <c r="D410" s="81">
        <v>0.23008620336022778</v>
      </c>
    </row>
    <row r="411" spans="2:4" x14ac:dyDescent="0.3">
      <c r="B411">
        <v>393</v>
      </c>
      <c r="C411" s="80">
        <v>495.37226999188965</v>
      </c>
      <c r="D411" s="81">
        <v>0.29949835109586753</v>
      </c>
    </row>
    <row r="412" spans="2:4" x14ac:dyDescent="0.3">
      <c r="B412">
        <v>394</v>
      </c>
      <c r="C412" s="80">
        <v>299.65262301547693</v>
      </c>
      <c r="D412" s="81">
        <v>0.22760624341846114</v>
      </c>
    </row>
    <row r="413" spans="2:4" x14ac:dyDescent="0.3">
      <c r="B413">
        <v>395</v>
      </c>
      <c r="C413" s="80">
        <v>415.673630500851</v>
      </c>
      <c r="D413" s="81">
        <v>0.2940631134131062</v>
      </c>
    </row>
    <row r="414" spans="2:4" x14ac:dyDescent="0.3">
      <c r="B414">
        <v>396</v>
      </c>
      <c r="C414" s="80">
        <v>201.72471234493253</v>
      </c>
      <c r="D414" s="81">
        <v>0.18047877502783671</v>
      </c>
    </row>
    <row r="415" spans="2:4" x14ac:dyDescent="0.3">
      <c r="B415">
        <v>397</v>
      </c>
      <c r="C415" s="80">
        <v>403.02719614717023</v>
      </c>
      <c r="D415" s="81">
        <v>0.26129609550053345</v>
      </c>
    </row>
    <row r="416" spans="2:4" x14ac:dyDescent="0.3">
      <c r="B416">
        <v>398</v>
      </c>
      <c r="C416" s="80">
        <v>489.27590907628291</v>
      </c>
      <c r="D416" s="81">
        <v>0.31236238047287945</v>
      </c>
    </row>
    <row r="417" spans="2:4" x14ac:dyDescent="0.3">
      <c r="B417">
        <v>399</v>
      </c>
      <c r="C417" s="80">
        <v>371.38211970433736</v>
      </c>
      <c r="D417" s="81">
        <v>0.27083787831091777</v>
      </c>
    </row>
    <row r="418" spans="2:4" x14ac:dyDescent="0.3">
      <c r="B418">
        <v>400</v>
      </c>
      <c r="C418" s="80">
        <v>686.97819088458414</v>
      </c>
      <c r="D418" s="81">
        <v>0.43382093994524618</v>
      </c>
    </row>
    <row r="419" spans="2:4" x14ac:dyDescent="0.3">
      <c r="B419">
        <v>401</v>
      </c>
      <c r="C419" s="80">
        <v>401.33330138683209</v>
      </c>
      <c r="D419" s="81">
        <v>0.24575809715201191</v>
      </c>
    </row>
    <row r="420" spans="2:4" x14ac:dyDescent="0.3">
      <c r="B420">
        <v>402</v>
      </c>
      <c r="C420" s="80">
        <v>536.14615038904867</v>
      </c>
      <c r="D420" s="81">
        <v>0.30355072886465062</v>
      </c>
    </row>
    <row r="421" spans="2:4" x14ac:dyDescent="0.3">
      <c r="B421">
        <v>403</v>
      </c>
      <c r="C421" s="80">
        <v>642.50566271427351</v>
      </c>
      <c r="D421" s="81">
        <v>0.45942495408987849</v>
      </c>
    </row>
    <row r="422" spans="2:4" x14ac:dyDescent="0.3">
      <c r="B422">
        <v>404</v>
      </c>
      <c r="C422" s="80">
        <v>579.63167682386916</v>
      </c>
      <c r="D422" s="81">
        <v>0.3534550014086717</v>
      </c>
    </row>
    <row r="423" spans="2:4" x14ac:dyDescent="0.3">
      <c r="B423">
        <v>405</v>
      </c>
      <c r="C423" s="80">
        <v>338.98907085889016</v>
      </c>
      <c r="D423" s="81">
        <v>0.2429065949473006</v>
      </c>
    </row>
    <row r="424" spans="2:4" x14ac:dyDescent="0.3">
      <c r="B424">
        <v>406</v>
      </c>
      <c r="C424" s="80">
        <v>471.02109395356149</v>
      </c>
      <c r="D424" s="81">
        <v>0.32101819159574863</v>
      </c>
    </row>
    <row r="425" spans="2:4" x14ac:dyDescent="0.3">
      <c r="B425">
        <v>407</v>
      </c>
      <c r="C425" s="80">
        <v>369.70614299631882</v>
      </c>
      <c r="D425" s="81">
        <v>0.25903879072160652</v>
      </c>
    </row>
    <row r="426" spans="2:4" x14ac:dyDescent="0.3">
      <c r="B426">
        <v>408</v>
      </c>
      <c r="C426" s="80">
        <v>742.55820713749426</v>
      </c>
      <c r="D426" s="81">
        <v>0.35597989381289952</v>
      </c>
    </row>
    <row r="427" spans="2:4" x14ac:dyDescent="0.3">
      <c r="B427">
        <v>409</v>
      </c>
      <c r="C427" s="80">
        <v>459.01606784990372</v>
      </c>
      <c r="D427" s="81">
        <v>0.29328543322865053</v>
      </c>
    </row>
    <row r="428" spans="2:4" x14ac:dyDescent="0.3">
      <c r="B428">
        <v>410</v>
      </c>
      <c r="C428" s="80">
        <v>228.67573323246791</v>
      </c>
      <c r="D428" s="81">
        <v>0.20306697854547928</v>
      </c>
    </row>
    <row r="429" spans="2:4" x14ac:dyDescent="0.3">
      <c r="B429">
        <v>411</v>
      </c>
      <c r="C429" s="80">
        <v>625.16431445933131</v>
      </c>
      <c r="D429" s="81">
        <v>0.35819847160175766</v>
      </c>
    </row>
    <row r="430" spans="2:4" x14ac:dyDescent="0.3">
      <c r="B430">
        <v>412</v>
      </c>
      <c r="C430" s="80">
        <v>377.3754828516627</v>
      </c>
      <c r="D430" s="81">
        <v>0.25523028137529891</v>
      </c>
    </row>
    <row r="431" spans="2:4" x14ac:dyDescent="0.3">
      <c r="B431">
        <v>413</v>
      </c>
      <c r="C431" s="80">
        <v>110.85857400165435</v>
      </c>
      <c r="D431" s="81">
        <v>0.16638636275373586</v>
      </c>
    </row>
    <row r="432" spans="2:4" x14ac:dyDescent="0.3">
      <c r="B432">
        <v>414</v>
      </c>
      <c r="C432" s="80">
        <v>225.3182847187295</v>
      </c>
      <c r="D432" s="81">
        <v>0.19406557276967917</v>
      </c>
    </row>
    <row r="433" spans="2:4" x14ac:dyDescent="0.3">
      <c r="B433">
        <v>415</v>
      </c>
      <c r="C433" s="80">
        <v>310.59202519121413</v>
      </c>
      <c r="D433" s="81">
        <v>0.26058022550612314</v>
      </c>
    </row>
    <row r="434" spans="2:4" x14ac:dyDescent="0.3">
      <c r="B434">
        <v>416</v>
      </c>
      <c r="C434" s="80">
        <v>370.55886308344623</v>
      </c>
      <c r="D434" s="81">
        <v>0.26569282740729583</v>
      </c>
    </row>
    <row r="435" spans="2:4" x14ac:dyDescent="0.3">
      <c r="B435">
        <v>417</v>
      </c>
      <c r="C435" s="80">
        <v>543.44253469981254</v>
      </c>
      <c r="D435" s="81">
        <v>0.3184441549225685</v>
      </c>
    </row>
    <row r="436" spans="2:4" x14ac:dyDescent="0.3">
      <c r="B436">
        <v>418</v>
      </c>
      <c r="C436" s="80">
        <v>496.76620619640948</v>
      </c>
      <c r="D436" s="81">
        <v>0.301452634153899</v>
      </c>
    </row>
    <row r="437" spans="2:4" x14ac:dyDescent="0.3">
      <c r="B437">
        <v>419</v>
      </c>
      <c r="C437" s="80">
        <v>389.28223594538508</v>
      </c>
      <c r="D437" s="81">
        <v>0.30935322224260586</v>
      </c>
    </row>
    <row r="438" spans="2:4" x14ac:dyDescent="0.3">
      <c r="B438">
        <v>420</v>
      </c>
      <c r="C438" s="80">
        <v>436.94988441965154</v>
      </c>
      <c r="D438" s="81">
        <v>0.29298884656253499</v>
      </c>
    </row>
    <row r="439" spans="2:4" x14ac:dyDescent="0.3">
      <c r="B439">
        <v>421</v>
      </c>
      <c r="C439" s="80">
        <v>612.88312416039275</v>
      </c>
      <c r="D439" s="81">
        <v>0.40413638244543337</v>
      </c>
    </row>
    <row r="440" spans="2:4" x14ac:dyDescent="0.3">
      <c r="B440">
        <v>422</v>
      </c>
      <c r="C440" s="80">
        <v>554.29060608835266</v>
      </c>
      <c r="D440" s="81">
        <v>0.3491860505064639</v>
      </c>
    </row>
    <row r="441" spans="2:4" x14ac:dyDescent="0.3">
      <c r="B441">
        <v>423</v>
      </c>
      <c r="C441" s="80">
        <v>432.51703726580229</v>
      </c>
      <c r="D441" s="81">
        <v>0.31903119306640493</v>
      </c>
    </row>
    <row r="442" spans="2:4" x14ac:dyDescent="0.3">
      <c r="B442">
        <v>424</v>
      </c>
      <c r="C442" s="80">
        <v>437.03778691168156</v>
      </c>
      <c r="D442" s="81">
        <v>0.26720897716325021</v>
      </c>
    </row>
    <row r="443" spans="2:4" x14ac:dyDescent="0.3">
      <c r="B443">
        <v>425</v>
      </c>
      <c r="C443" s="80">
        <v>668.53527339233051</v>
      </c>
      <c r="D443" s="81">
        <v>0.35715077774654058</v>
      </c>
    </row>
    <row r="444" spans="2:4" x14ac:dyDescent="0.3">
      <c r="B444">
        <v>426</v>
      </c>
      <c r="C444" s="80">
        <v>373.05064564165059</v>
      </c>
      <c r="D444" s="81">
        <v>0.28850497834475308</v>
      </c>
    </row>
    <row r="445" spans="2:4" x14ac:dyDescent="0.3">
      <c r="B445">
        <v>427</v>
      </c>
      <c r="C445" s="80">
        <v>793.63190386906535</v>
      </c>
      <c r="D445" s="81">
        <v>0.41806283781679099</v>
      </c>
    </row>
    <row r="446" spans="2:4" x14ac:dyDescent="0.3">
      <c r="B446">
        <v>428</v>
      </c>
      <c r="C446" s="80">
        <v>654.1439228615925</v>
      </c>
      <c r="D446" s="81">
        <v>0.3281341958525319</v>
      </c>
    </row>
    <row r="447" spans="2:4" x14ac:dyDescent="0.3">
      <c r="B447">
        <v>429</v>
      </c>
      <c r="C447" s="80">
        <v>554.16704145247104</v>
      </c>
      <c r="D447" s="81">
        <v>0.32011469646008872</v>
      </c>
    </row>
    <row r="448" spans="2:4" x14ac:dyDescent="0.3">
      <c r="B448">
        <v>430</v>
      </c>
      <c r="C448" s="80">
        <v>153.61521622496048</v>
      </c>
      <c r="D448" s="81">
        <v>0.1756441477782873</v>
      </c>
    </row>
    <row r="449" spans="2:4" x14ac:dyDescent="0.3">
      <c r="B449">
        <v>431</v>
      </c>
      <c r="C449" s="80">
        <v>565.48310862951234</v>
      </c>
      <c r="D449" s="81">
        <v>0.33816276981644888</v>
      </c>
    </row>
    <row r="450" spans="2:4" x14ac:dyDescent="0.3">
      <c r="B450">
        <v>432</v>
      </c>
      <c r="C450" s="80">
        <v>842.24706653052817</v>
      </c>
      <c r="D450" s="81">
        <v>0.44320473241757341</v>
      </c>
    </row>
    <row r="451" spans="2:4" x14ac:dyDescent="0.3">
      <c r="B451">
        <v>433</v>
      </c>
      <c r="C451" s="80">
        <v>407.39241050411135</v>
      </c>
      <c r="D451" s="81">
        <v>0.27974911836837912</v>
      </c>
    </row>
    <row r="452" spans="2:4" x14ac:dyDescent="0.3">
      <c r="B452">
        <v>434</v>
      </c>
      <c r="C452" s="80">
        <v>533.80487248171426</v>
      </c>
      <c r="D452" s="81">
        <v>0.3406706780730937</v>
      </c>
    </row>
    <row r="453" spans="2:4" x14ac:dyDescent="0.3">
      <c r="B453">
        <v>435</v>
      </c>
      <c r="C453" s="80">
        <v>420.08241297727272</v>
      </c>
      <c r="D453" s="81">
        <v>0.33831477763649631</v>
      </c>
    </row>
    <row r="454" spans="2:4" x14ac:dyDescent="0.3">
      <c r="B454">
        <v>436</v>
      </c>
      <c r="C454" s="80">
        <v>193.58980478175431</v>
      </c>
      <c r="D454" s="81">
        <v>0.19952232810477688</v>
      </c>
    </row>
    <row r="455" spans="2:4" x14ac:dyDescent="0.3">
      <c r="B455">
        <v>437</v>
      </c>
      <c r="C455" s="80">
        <v>277.01163976522537</v>
      </c>
      <c r="D455" s="81">
        <v>0.20940096964600508</v>
      </c>
    </row>
    <row r="456" spans="2:4" x14ac:dyDescent="0.3">
      <c r="B456">
        <v>438</v>
      </c>
      <c r="C456" s="80">
        <v>360.80590733372287</v>
      </c>
      <c r="D456" s="81">
        <v>0.23279339544904176</v>
      </c>
    </row>
    <row r="457" spans="2:4" x14ac:dyDescent="0.3">
      <c r="B457">
        <v>439</v>
      </c>
      <c r="C457" s="80">
        <v>-93.94085392554183</v>
      </c>
      <c r="D457" s="81">
        <v>8.2548981141453925E-2</v>
      </c>
    </row>
    <row r="458" spans="2:4" x14ac:dyDescent="0.3">
      <c r="B458">
        <v>440</v>
      </c>
      <c r="C458" s="80">
        <v>679.26683811376734</v>
      </c>
      <c r="D458" s="81">
        <v>0.34526638483903227</v>
      </c>
    </row>
    <row r="459" spans="2:4" x14ac:dyDescent="0.3">
      <c r="B459">
        <v>441</v>
      </c>
      <c r="C459" s="80">
        <v>601.83389958225553</v>
      </c>
      <c r="D459" s="81">
        <v>0.33199293069588842</v>
      </c>
    </row>
    <row r="460" spans="2:4" x14ac:dyDescent="0.3">
      <c r="B460">
        <v>442</v>
      </c>
      <c r="C460" s="80">
        <v>481.03936836982939</v>
      </c>
      <c r="D460" s="81">
        <v>0.37987623774311596</v>
      </c>
    </row>
    <row r="461" spans="2:4" x14ac:dyDescent="0.3">
      <c r="B461">
        <v>443</v>
      </c>
      <c r="C461" s="80">
        <v>379.80488213340561</v>
      </c>
      <c r="D461" s="81">
        <v>0.33170322570228272</v>
      </c>
    </row>
    <row r="462" spans="2:4" x14ac:dyDescent="0.3">
      <c r="B462">
        <v>444</v>
      </c>
      <c r="C462" s="80">
        <v>401.00856427989333</v>
      </c>
      <c r="D462" s="81">
        <v>0.26314682937441525</v>
      </c>
    </row>
    <row r="463" spans="2:4" x14ac:dyDescent="0.3">
      <c r="B463">
        <v>445</v>
      </c>
      <c r="C463" s="80">
        <v>490.15083802752929</v>
      </c>
      <c r="D463" s="81">
        <v>0.34169621914711512</v>
      </c>
    </row>
    <row r="464" spans="2:4" x14ac:dyDescent="0.3">
      <c r="B464">
        <v>446</v>
      </c>
      <c r="C464" s="80">
        <v>493.0158637859347</v>
      </c>
      <c r="D464" s="81">
        <v>0.40809108181543108</v>
      </c>
    </row>
    <row r="465" spans="2:4" x14ac:dyDescent="0.3">
      <c r="B465">
        <v>447</v>
      </c>
      <c r="C465" s="80">
        <v>582.06879051783858</v>
      </c>
      <c r="D465" s="81">
        <v>0.33499448411624022</v>
      </c>
    </row>
    <row r="466" spans="2:4" x14ac:dyDescent="0.3">
      <c r="B466">
        <v>448</v>
      </c>
      <c r="C466" s="80">
        <v>335.90343105705745</v>
      </c>
      <c r="D466" s="81">
        <v>0.26159684407934902</v>
      </c>
    </row>
    <row r="467" spans="2:4" x14ac:dyDescent="0.3">
      <c r="B467">
        <v>449</v>
      </c>
      <c r="C467" s="80">
        <v>525.5387352611267</v>
      </c>
      <c r="D467" s="81">
        <v>0.3259755898193506</v>
      </c>
    </row>
    <row r="468" spans="2:4" x14ac:dyDescent="0.3">
      <c r="B468">
        <v>450</v>
      </c>
      <c r="C468" s="80">
        <v>379.64946085860868</v>
      </c>
      <c r="D468" s="81">
        <v>0.24028370355287287</v>
      </c>
    </row>
    <row r="469" spans="2:4" x14ac:dyDescent="0.3">
      <c r="B469">
        <v>451</v>
      </c>
      <c r="C469" s="80">
        <v>533.26371753004355</v>
      </c>
      <c r="D469" s="81">
        <v>0.34444106809149466</v>
      </c>
    </row>
    <row r="470" spans="2:4" x14ac:dyDescent="0.3">
      <c r="B470">
        <v>452</v>
      </c>
      <c r="C470" s="80">
        <v>548.01386858968476</v>
      </c>
      <c r="D470" s="81">
        <v>0.36094246125324081</v>
      </c>
    </row>
    <row r="471" spans="2:4" x14ac:dyDescent="0.3">
      <c r="B471">
        <v>453</v>
      </c>
      <c r="C471" s="80">
        <v>320.83400678877581</v>
      </c>
      <c r="D471" s="81">
        <v>0.2810101899394799</v>
      </c>
    </row>
    <row r="472" spans="2:4" x14ac:dyDescent="0.3">
      <c r="B472">
        <v>454</v>
      </c>
      <c r="C472" s="80">
        <v>396.0560617869578</v>
      </c>
      <c r="D472" s="81">
        <v>0.3012333177863562</v>
      </c>
    </row>
    <row r="473" spans="2:4" x14ac:dyDescent="0.3">
      <c r="B473">
        <v>455</v>
      </c>
      <c r="C473" s="80">
        <v>316.31793541435104</v>
      </c>
      <c r="D473" s="81">
        <v>0.25781512042798749</v>
      </c>
    </row>
    <row r="474" spans="2:4" x14ac:dyDescent="0.3">
      <c r="B474">
        <v>456</v>
      </c>
      <c r="C474" s="80">
        <v>334.28116472008321</v>
      </c>
      <c r="D474" s="81">
        <v>0.22857551366578721</v>
      </c>
    </row>
    <row r="475" spans="2:4" x14ac:dyDescent="0.3">
      <c r="B475">
        <v>457</v>
      </c>
      <c r="C475" s="80">
        <v>438.18131532212192</v>
      </c>
      <c r="D475" s="81">
        <v>0.34269147632545405</v>
      </c>
    </row>
    <row r="476" spans="2:4" x14ac:dyDescent="0.3">
      <c r="B476">
        <v>458</v>
      </c>
      <c r="C476" s="80">
        <v>659.81785654967166</v>
      </c>
      <c r="D476" s="81">
        <v>0.33919989494143743</v>
      </c>
    </row>
    <row r="477" spans="2:4" x14ac:dyDescent="0.3">
      <c r="B477">
        <v>459</v>
      </c>
      <c r="C477" s="80">
        <v>762.27384533072814</v>
      </c>
      <c r="D477" s="81">
        <v>0.40025692161656123</v>
      </c>
    </row>
    <row r="478" spans="2:4" x14ac:dyDescent="0.3">
      <c r="B478">
        <v>460</v>
      </c>
      <c r="C478" s="80">
        <v>561.48159855116955</v>
      </c>
      <c r="D478" s="81">
        <v>0.36219599996404184</v>
      </c>
    </row>
    <row r="479" spans="2:4" x14ac:dyDescent="0.3">
      <c r="B479">
        <v>461</v>
      </c>
      <c r="C479" s="80">
        <v>322.73504757608669</v>
      </c>
      <c r="D479" s="81">
        <v>0.2126304160276562</v>
      </c>
    </row>
    <row r="480" spans="2:4" x14ac:dyDescent="0.3">
      <c r="B480">
        <v>462</v>
      </c>
      <c r="C480" s="80">
        <v>227.35456901743635</v>
      </c>
      <c r="D480" s="81">
        <v>0.2299869091887532</v>
      </c>
    </row>
    <row r="481" spans="2:4" x14ac:dyDescent="0.3">
      <c r="B481">
        <v>463</v>
      </c>
      <c r="C481" s="80">
        <v>717.56778802490817</v>
      </c>
      <c r="D481" s="81">
        <v>0.41476860315528219</v>
      </c>
    </row>
    <row r="482" spans="2:4" x14ac:dyDescent="0.3">
      <c r="B482">
        <v>464</v>
      </c>
      <c r="C482" s="80">
        <v>310.37829390033016</v>
      </c>
      <c r="D482" s="81">
        <v>0.25914609691090496</v>
      </c>
    </row>
    <row r="483" spans="2:4" x14ac:dyDescent="0.3">
      <c r="B483">
        <v>465</v>
      </c>
      <c r="C483" s="80">
        <v>525.85744323447511</v>
      </c>
      <c r="D483" s="81">
        <v>0.3101842442326086</v>
      </c>
    </row>
    <row r="484" spans="2:4" x14ac:dyDescent="0.3">
      <c r="B484">
        <v>466</v>
      </c>
      <c r="C484" s="80">
        <v>606.37279269206283</v>
      </c>
      <c r="D484" s="81">
        <v>0.32197391911229478</v>
      </c>
    </row>
    <row r="485" spans="2:4" x14ac:dyDescent="0.3">
      <c r="B485">
        <v>467</v>
      </c>
      <c r="C485" s="80">
        <v>354.45640273215497</v>
      </c>
      <c r="D485" s="81">
        <v>0.2389562892293462</v>
      </c>
    </row>
    <row r="486" spans="2:4" x14ac:dyDescent="0.3">
      <c r="B486">
        <v>468</v>
      </c>
      <c r="C486" s="80">
        <v>266.76142745691402</v>
      </c>
      <c r="D486" s="81">
        <v>0.2202781022129201</v>
      </c>
    </row>
    <row r="487" spans="2:4" x14ac:dyDescent="0.3">
      <c r="B487">
        <v>469</v>
      </c>
      <c r="C487" s="80">
        <v>465.61919702638613</v>
      </c>
      <c r="D487" s="81">
        <v>0.28348603711111164</v>
      </c>
    </row>
    <row r="488" spans="2:4" x14ac:dyDescent="0.3">
      <c r="B488">
        <v>470</v>
      </c>
      <c r="C488" s="80">
        <v>699.82601894315758</v>
      </c>
      <c r="D488" s="81">
        <v>0.40597297298669477</v>
      </c>
    </row>
    <row r="489" spans="2:4" x14ac:dyDescent="0.3">
      <c r="B489">
        <v>471</v>
      </c>
      <c r="C489" s="80">
        <v>137.94411732274591</v>
      </c>
      <c r="D489" s="81">
        <v>0.16295953283928966</v>
      </c>
    </row>
    <row r="490" spans="2:4" x14ac:dyDescent="0.3">
      <c r="B490">
        <v>472</v>
      </c>
      <c r="C490" s="80">
        <v>370.7086538703486</v>
      </c>
      <c r="D490" s="81">
        <v>0.24228352346026183</v>
      </c>
    </row>
    <row r="491" spans="2:4" x14ac:dyDescent="0.3">
      <c r="B491">
        <v>473</v>
      </c>
      <c r="C491" s="80">
        <v>300.47860438105522</v>
      </c>
      <c r="D491" s="81">
        <v>0.25340332732151527</v>
      </c>
    </row>
    <row r="492" spans="2:4" x14ac:dyDescent="0.3">
      <c r="B492">
        <v>474</v>
      </c>
      <c r="C492" s="80">
        <v>580.49323844632977</v>
      </c>
      <c r="D492" s="81">
        <v>0.29551341248323126</v>
      </c>
    </row>
    <row r="493" spans="2:4" x14ac:dyDescent="0.3">
      <c r="B493">
        <v>475</v>
      </c>
      <c r="C493" s="80">
        <v>567.27300701984996</v>
      </c>
      <c r="D493" s="81">
        <v>0.32597513108337983</v>
      </c>
    </row>
    <row r="494" spans="2:4" x14ac:dyDescent="0.3">
      <c r="B494">
        <v>476</v>
      </c>
      <c r="C494" s="80">
        <v>159.4266910375992</v>
      </c>
      <c r="D494" s="81">
        <v>0.17960863402607163</v>
      </c>
    </row>
    <row r="495" spans="2:4" x14ac:dyDescent="0.3">
      <c r="B495">
        <v>477</v>
      </c>
      <c r="C495" s="80">
        <v>518.46499414060031</v>
      </c>
      <c r="D495" s="81">
        <v>0.2970731156999622</v>
      </c>
    </row>
    <row r="496" spans="2:4" x14ac:dyDescent="0.3">
      <c r="B496">
        <v>478</v>
      </c>
      <c r="C496" s="80">
        <v>305.9194898771392</v>
      </c>
      <c r="D496" s="81">
        <v>0.23929177539089452</v>
      </c>
    </row>
    <row r="497" spans="2:4" x14ac:dyDescent="0.3">
      <c r="B497">
        <v>479</v>
      </c>
      <c r="C497" s="80">
        <v>490.69714903378895</v>
      </c>
      <c r="D497" s="81">
        <v>0.31376386394858469</v>
      </c>
    </row>
    <row r="498" spans="2:4" x14ac:dyDescent="0.3">
      <c r="B498">
        <v>480</v>
      </c>
      <c r="C498" s="80">
        <v>631.28190973148548</v>
      </c>
      <c r="D498" s="81">
        <v>0.37176097578063971</v>
      </c>
    </row>
    <row r="499" spans="2:4" x14ac:dyDescent="0.3">
      <c r="B499">
        <v>481</v>
      </c>
      <c r="C499" s="80">
        <v>301.72203696410361</v>
      </c>
      <c r="D499" s="81">
        <v>0.23089140465894897</v>
      </c>
    </row>
    <row r="500" spans="2:4" x14ac:dyDescent="0.3">
      <c r="B500">
        <v>482</v>
      </c>
      <c r="C500" s="80">
        <v>544.41790323439636</v>
      </c>
      <c r="D500" s="81">
        <v>0.33324190982784807</v>
      </c>
    </row>
    <row r="501" spans="2:4" x14ac:dyDescent="0.3">
      <c r="B501">
        <v>483</v>
      </c>
      <c r="C501" s="80">
        <v>345.63650331963447</v>
      </c>
      <c r="D501" s="81">
        <v>0.25120817147213481</v>
      </c>
    </row>
    <row r="502" spans="2:4" x14ac:dyDescent="0.3">
      <c r="B502">
        <v>484</v>
      </c>
      <c r="C502" s="80">
        <v>296.60582620125922</v>
      </c>
      <c r="D502" s="81">
        <v>0.22751076364042966</v>
      </c>
    </row>
    <row r="503" spans="2:4" x14ac:dyDescent="0.3">
      <c r="B503">
        <v>485</v>
      </c>
      <c r="C503" s="80">
        <v>293.92365943393224</v>
      </c>
      <c r="D503" s="81">
        <v>0.25671923624042647</v>
      </c>
    </row>
    <row r="504" spans="2:4" x14ac:dyDescent="0.3">
      <c r="B504">
        <v>486</v>
      </c>
      <c r="C504" s="80">
        <v>602.73735810792709</v>
      </c>
      <c r="D504" s="81">
        <v>0.35692134984845869</v>
      </c>
    </row>
    <row r="505" spans="2:4" x14ac:dyDescent="0.3">
      <c r="B505">
        <v>487</v>
      </c>
      <c r="C505" s="80">
        <v>295.37720784452495</v>
      </c>
      <c r="D505" s="81">
        <v>0.23999455925614255</v>
      </c>
    </row>
    <row r="506" spans="2:4" x14ac:dyDescent="0.3">
      <c r="B506">
        <v>488</v>
      </c>
      <c r="C506" s="80">
        <v>641.65028409989441</v>
      </c>
      <c r="D506" s="81">
        <v>0.38154392738082543</v>
      </c>
    </row>
    <row r="507" spans="2:4" x14ac:dyDescent="0.3">
      <c r="B507">
        <v>489</v>
      </c>
      <c r="C507" s="80">
        <v>693.32873050320131</v>
      </c>
      <c r="D507" s="81">
        <v>0.37448855115193735</v>
      </c>
    </row>
    <row r="508" spans="2:4" x14ac:dyDescent="0.3">
      <c r="B508">
        <v>490</v>
      </c>
      <c r="C508" s="80">
        <v>538.07121418625593</v>
      </c>
      <c r="D508" s="81">
        <v>0.32967714314544727</v>
      </c>
    </row>
    <row r="509" spans="2:4" x14ac:dyDescent="0.3">
      <c r="B509">
        <v>491</v>
      </c>
      <c r="C509" s="80">
        <v>257.13198207649475</v>
      </c>
      <c r="D509" s="81">
        <v>0.21064960991728832</v>
      </c>
    </row>
    <row r="510" spans="2:4" x14ac:dyDescent="0.3">
      <c r="B510">
        <v>492</v>
      </c>
      <c r="C510" s="80">
        <v>188.64120759003276</v>
      </c>
      <c r="D510" s="81">
        <v>0.18212224787110731</v>
      </c>
    </row>
    <row r="511" spans="2:4" x14ac:dyDescent="0.3">
      <c r="B511">
        <v>493</v>
      </c>
      <c r="C511" s="80">
        <v>455.84810999481272</v>
      </c>
      <c r="D511" s="81">
        <v>0.318856629535063</v>
      </c>
    </row>
    <row r="512" spans="2:4" x14ac:dyDescent="0.3">
      <c r="B512">
        <v>494</v>
      </c>
      <c r="C512" s="80">
        <v>720.10842665046493</v>
      </c>
      <c r="D512" s="81">
        <v>0.52328911218385787</v>
      </c>
    </row>
    <row r="513" spans="2:4" x14ac:dyDescent="0.3">
      <c r="B513">
        <v>495</v>
      </c>
      <c r="C513" s="80">
        <v>587.02871756233617</v>
      </c>
      <c r="D513" s="81">
        <v>0.3776284218909951</v>
      </c>
    </row>
    <row r="514" spans="2:4" x14ac:dyDescent="0.3">
      <c r="B514">
        <v>496</v>
      </c>
      <c r="C514" s="80">
        <v>516.59014860234743</v>
      </c>
      <c r="D514" s="81">
        <v>0.31126904231415931</v>
      </c>
    </row>
    <row r="515" spans="2:4" x14ac:dyDescent="0.3">
      <c r="B515">
        <v>497</v>
      </c>
      <c r="C515" s="80">
        <v>240.24783904582887</v>
      </c>
      <c r="D515" s="81">
        <v>0.20435630343438493</v>
      </c>
    </row>
    <row r="516" spans="2:4" x14ac:dyDescent="0.3">
      <c r="B516">
        <v>498</v>
      </c>
      <c r="C516" s="80">
        <v>751.05307576666496</v>
      </c>
      <c r="D516" s="81">
        <v>0.4020042662416754</v>
      </c>
    </row>
    <row r="517" spans="2:4" x14ac:dyDescent="0.3">
      <c r="B517">
        <v>499</v>
      </c>
      <c r="C517" s="80">
        <v>252.12101969641833</v>
      </c>
      <c r="D517" s="81">
        <v>0.21011681640072477</v>
      </c>
    </row>
    <row r="518" spans="2:4" x14ac:dyDescent="0.3">
      <c r="B518">
        <v>500</v>
      </c>
      <c r="C518" s="80">
        <v>452.70740149189578</v>
      </c>
      <c r="D518" s="81">
        <v>0.2908949892009447</v>
      </c>
    </row>
    <row r="519" spans="2:4" x14ac:dyDescent="0.3">
      <c r="B519">
        <v>501</v>
      </c>
      <c r="C519" s="80">
        <v>553.96927395879811</v>
      </c>
      <c r="D519" s="81">
        <v>0.33224665319869384</v>
      </c>
    </row>
    <row r="520" spans="2:4" x14ac:dyDescent="0.3">
      <c r="B520">
        <v>502</v>
      </c>
      <c r="C520" s="80">
        <v>600.22546030045783</v>
      </c>
      <c r="D520" s="81">
        <v>0.36443930205624042</v>
      </c>
    </row>
    <row r="521" spans="2:4" x14ac:dyDescent="0.3">
      <c r="B521">
        <v>503</v>
      </c>
      <c r="C521" s="80">
        <v>-73.955658831633116</v>
      </c>
      <c r="D521" s="81">
        <v>8.6973665767605013E-2</v>
      </c>
    </row>
    <row r="522" spans="2:4" x14ac:dyDescent="0.3">
      <c r="B522">
        <v>504</v>
      </c>
      <c r="C522" s="80">
        <v>278.09859803070924</v>
      </c>
      <c r="D522" s="81">
        <v>0.21902275043015385</v>
      </c>
    </row>
    <row r="523" spans="2:4" x14ac:dyDescent="0.3">
      <c r="B523">
        <v>505</v>
      </c>
      <c r="C523" s="80">
        <v>153.22082956266638</v>
      </c>
      <c r="D523" s="81">
        <v>0.18898989391119603</v>
      </c>
    </row>
    <row r="524" spans="2:4" x14ac:dyDescent="0.3">
      <c r="B524">
        <v>506</v>
      </c>
      <c r="C524" s="80">
        <v>562.77086471612984</v>
      </c>
      <c r="D524" s="81">
        <v>0.32209223472582282</v>
      </c>
    </row>
    <row r="525" spans="2:4" x14ac:dyDescent="0.3">
      <c r="B525">
        <v>507</v>
      </c>
      <c r="C525" s="80">
        <v>595.85126513457635</v>
      </c>
      <c r="D525" s="81">
        <v>0.33677659097003376</v>
      </c>
    </row>
    <row r="526" spans="2:4" x14ac:dyDescent="0.3">
      <c r="B526">
        <v>508</v>
      </c>
      <c r="C526" s="80">
        <v>732.61505705013519</v>
      </c>
      <c r="D526" s="81">
        <v>0.40425994212694527</v>
      </c>
    </row>
    <row r="527" spans="2:4" x14ac:dyDescent="0.3">
      <c r="B527">
        <v>509</v>
      </c>
      <c r="C527" s="80">
        <v>400.79349717768332</v>
      </c>
      <c r="D527" s="81">
        <v>0.28089519865382906</v>
      </c>
    </row>
    <row r="528" spans="2:4" x14ac:dyDescent="0.3">
      <c r="B528">
        <v>510</v>
      </c>
      <c r="C528" s="80">
        <v>468.10374071509386</v>
      </c>
      <c r="D528" s="81">
        <v>0.25861151442810737</v>
      </c>
    </row>
    <row r="529" spans="2:4" x14ac:dyDescent="0.3">
      <c r="B529">
        <v>511</v>
      </c>
      <c r="C529" s="80">
        <v>462.01251978925336</v>
      </c>
      <c r="D529" s="81">
        <v>0.35478673499058866</v>
      </c>
    </row>
    <row r="530" spans="2:4" x14ac:dyDescent="0.3">
      <c r="B530">
        <v>512</v>
      </c>
      <c r="C530" s="80">
        <v>296.29705310005136</v>
      </c>
      <c r="D530" s="81">
        <v>0.22622046829612019</v>
      </c>
    </row>
    <row r="531" spans="2:4" x14ac:dyDescent="0.3">
      <c r="B531">
        <v>513</v>
      </c>
      <c r="C531" s="80">
        <v>381.83287928339905</v>
      </c>
      <c r="D531" s="81">
        <v>0.23900134635064196</v>
      </c>
    </row>
    <row r="532" spans="2:4" x14ac:dyDescent="0.3">
      <c r="B532">
        <v>514</v>
      </c>
      <c r="C532" s="80">
        <v>-39.333395982561797</v>
      </c>
      <c r="D532" s="81">
        <v>9.891289011955462E-2</v>
      </c>
    </row>
    <row r="533" spans="2:4" x14ac:dyDescent="0.3">
      <c r="B533">
        <v>515</v>
      </c>
      <c r="C533" s="80">
        <v>433.39192322596273</v>
      </c>
      <c r="D533" s="81">
        <v>0.33323052584057589</v>
      </c>
    </row>
    <row r="534" spans="2:4" x14ac:dyDescent="0.3">
      <c r="B534">
        <v>516</v>
      </c>
      <c r="C534" s="80">
        <v>443.70574114575277</v>
      </c>
      <c r="D534" s="81">
        <v>0.31007101111216273</v>
      </c>
    </row>
    <row r="535" spans="2:4" x14ac:dyDescent="0.3">
      <c r="B535">
        <v>517</v>
      </c>
      <c r="C535" s="80">
        <v>435.49025947851499</v>
      </c>
      <c r="D535" s="81">
        <v>0.30937499316576322</v>
      </c>
    </row>
    <row r="536" spans="2:4" x14ac:dyDescent="0.3">
      <c r="B536">
        <v>518</v>
      </c>
      <c r="C536" s="80">
        <v>338.45483186353124</v>
      </c>
      <c r="D536" s="81">
        <v>0.24462251586243888</v>
      </c>
    </row>
    <row r="537" spans="2:4" x14ac:dyDescent="0.3">
      <c r="B537">
        <v>519</v>
      </c>
      <c r="C537" s="80">
        <v>345.3632609714648</v>
      </c>
      <c r="D537" s="81">
        <v>0.27646762875392339</v>
      </c>
    </row>
    <row r="538" spans="2:4" x14ac:dyDescent="0.3">
      <c r="B538">
        <v>520</v>
      </c>
      <c r="C538" s="80">
        <v>562.58731686579495</v>
      </c>
      <c r="D538" s="81">
        <v>0.35182181796071998</v>
      </c>
    </row>
    <row r="539" spans="2:4" x14ac:dyDescent="0.3">
      <c r="B539">
        <v>521</v>
      </c>
      <c r="C539" s="80">
        <v>100.99980160778682</v>
      </c>
      <c r="D539" s="81">
        <v>0.17135246429294337</v>
      </c>
    </row>
    <row r="540" spans="2:4" x14ac:dyDescent="0.3">
      <c r="B540">
        <v>522</v>
      </c>
      <c r="C540" s="80">
        <v>148.41462800257057</v>
      </c>
      <c r="D540" s="81">
        <v>0.16587366109303692</v>
      </c>
    </row>
    <row r="541" spans="2:4" x14ac:dyDescent="0.3">
      <c r="B541">
        <v>523</v>
      </c>
      <c r="C541" s="80">
        <v>404.80941440857202</v>
      </c>
      <c r="D541" s="81">
        <v>0.30484774978340523</v>
      </c>
    </row>
    <row r="542" spans="2:4" x14ac:dyDescent="0.3">
      <c r="B542">
        <v>524</v>
      </c>
      <c r="C542" s="80">
        <v>299.31109846041022</v>
      </c>
      <c r="D542" s="81">
        <v>0.22612725593935989</v>
      </c>
    </row>
    <row r="543" spans="2:4" x14ac:dyDescent="0.3">
      <c r="B543">
        <v>525</v>
      </c>
      <c r="C543" s="80">
        <v>433.64769718041703</v>
      </c>
      <c r="D543" s="81">
        <v>0.37341852123002828</v>
      </c>
    </row>
    <row r="544" spans="2:4" x14ac:dyDescent="0.3">
      <c r="B544">
        <v>526</v>
      </c>
      <c r="C544" s="80">
        <v>354.34665993983208</v>
      </c>
      <c r="D544" s="81">
        <v>0.23061505914888358</v>
      </c>
    </row>
    <row r="545" spans="2:4" x14ac:dyDescent="0.3">
      <c r="B545">
        <v>527</v>
      </c>
      <c r="C545" s="80">
        <v>728.0543298210805</v>
      </c>
      <c r="D545" s="81">
        <v>0.39150219905781092</v>
      </c>
    </row>
    <row r="546" spans="2:4" x14ac:dyDescent="0.3">
      <c r="B546">
        <v>528</v>
      </c>
      <c r="C546" s="80">
        <v>474.57600488742059</v>
      </c>
      <c r="D546" s="81">
        <v>0.34592179895693942</v>
      </c>
    </row>
    <row r="547" spans="2:4" x14ac:dyDescent="0.3">
      <c r="B547">
        <v>529</v>
      </c>
      <c r="C547" s="80">
        <v>542.97045797772444</v>
      </c>
      <c r="D547" s="81">
        <v>0.31643663838259695</v>
      </c>
    </row>
    <row r="548" spans="2:4" x14ac:dyDescent="0.3">
      <c r="B548">
        <v>530</v>
      </c>
      <c r="C548" s="80">
        <v>564.13437321698075</v>
      </c>
      <c r="D548" s="81">
        <v>0.33801761257902863</v>
      </c>
    </row>
    <row r="549" spans="2:4" x14ac:dyDescent="0.3">
      <c r="B549">
        <v>531</v>
      </c>
      <c r="C549" s="80">
        <v>338.94076321101238</v>
      </c>
      <c r="D549" s="81">
        <v>0.2599159139636591</v>
      </c>
    </row>
    <row r="550" spans="2:4" x14ac:dyDescent="0.3">
      <c r="B550">
        <v>532</v>
      </c>
      <c r="C550" s="80">
        <v>559.1477603062508</v>
      </c>
      <c r="D550" s="81">
        <v>0.36530442068294122</v>
      </c>
    </row>
    <row r="551" spans="2:4" x14ac:dyDescent="0.3">
      <c r="B551">
        <v>533</v>
      </c>
      <c r="C551" s="80">
        <v>199.10047567074616</v>
      </c>
      <c r="D551" s="81">
        <v>0.18254227095883846</v>
      </c>
    </row>
    <row r="552" spans="2:4" x14ac:dyDescent="0.3">
      <c r="B552">
        <v>534</v>
      </c>
      <c r="C552" s="80">
        <v>370.54015745960669</v>
      </c>
      <c r="D552" s="81">
        <v>0.27279998964537477</v>
      </c>
    </row>
    <row r="553" spans="2:4" x14ac:dyDescent="0.3">
      <c r="B553">
        <v>535</v>
      </c>
      <c r="C553" s="80">
        <v>566.3270934491004</v>
      </c>
      <c r="D553" s="81">
        <v>0.42735568189769557</v>
      </c>
    </row>
    <row r="554" spans="2:4" x14ac:dyDescent="0.3">
      <c r="B554">
        <v>536</v>
      </c>
      <c r="C554" s="80">
        <v>407.95104594169243</v>
      </c>
      <c r="D554" s="81">
        <v>0.26008506577066082</v>
      </c>
    </row>
    <row r="555" spans="2:4" x14ac:dyDescent="0.3">
      <c r="B555">
        <v>537</v>
      </c>
      <c r="C555" s="80">
        <v>298.8156139739441</v>
      </c>
      <c r="D555" s="81">
        <v>0.25267325307488164</v>
      </c>
    </row>
    <row r="556" spans="2:4" x14ac:dyDescent="0.3">
      <c r="B556">
        <v>538</v>
      </c>
      <c r="C556" s="80">
        <v>539.3669197485799</v>
      </c>
      <c r="D556" s="81">
        <v>0.34050698329515283</v>
      </c>
    </row>
    <row r="557" spans="2:4" x14ac:dyDescent="0.3">
      <c r="B557">
        <v>539</v>
      </c>
      <c r="C557" s="80">
        <v>417.90862328153844</v>
      </c>
      <c r="D557" s="81">
        <v>0.291626283712203</v>
      </c>
    </row>
    <row r="558" spans="2:4" x14ac:dyDescent="0.3">
      <c r="B558">
        <v>540</v>
      </c>
      <c r="C558" s="80">
        <v>155.19083444435432</v>
      </c>
      <c r="D558" s="81">
        <v>0.18640938929255957</v>
      </c>
    </row>
    <row r="559" spans="2:4" x14ac:dyDescent="0.3">
      <c r="B559">
        <v>541</v>
      </c>
      <c r="C559" s="80">
        <v>238.38863715492676</v>
      </c>
      <c r="D559" s="81">
        <v>0.21783669239290004</v>
      </c>
    </row>
    <row r="560" spans="2:4" x14ac:dyDescent="0.3">
      <c r="B560">
        <v>542</v>
      </c>
      <c r="C560" s="80">
        <v>434.83238200350502</v>
      </c>
      <c r="D560" s="81">
        <v>0.28096777954601659</v>
      </c>
    </row>
    <row r="561" spans="2:4" x14ac:dyDescent="0.3">
      <c r="B561">
        <v>543</v>
      </c>
      <c r="C561" s="80">
        <v>756.86281708480283</v>
      </c>
      <c r="D561" s="81">
        <v>0.47384669305714056</v>
      </c>
    </row>
    <row r="562" spans="2:4" x14ac:dyDescent="0.3">
      <c r="B562">
        <v>544</v>
      </c>
      <c r="C562" s="80">
        <v>173.82095257509695</v>
      </c>
      <c r="D562" s="81">
        <v>0.20427411050819422</v>
      </c>
    </row>
    <row r="563" spans="2:4" x14ac:dyDescent="0.3">
      <c r="B563">
        <v>545</v>
      </c>
      <c r="C563" s="80">
        <v>391.82337565244484</v>
      </c>
      <c r="D563" s="81">
        <v>0.29376613548287578</v>
      </c>
    </row>
    <row r="564" spans="2:4" x14ac:dyDescent="0.3">
      <c r="B564">
        <v>546</v>
      </c>
      <c r="C564" s="80">
        <v>837.60479419460535</v>
      </c>
      <c r="D564" s="81">
        <v>0.35600119457992174</v>
      </c>
    </row>
    <row r="565" spans="2:4" x14ac:dyDescent="0.3">
      <c r="B565">
        <v>547</v>
      </c>
      <c r="C565" s="80">
        <v>485.6025545697878</v>
      </c>
      <c r="D565" s="81">
        <v>0.27844280365777063</v>
      </c>
    </row>
    <row r="566" spans="2:4" x14ac:dyDescent="0.3">
      <c r="B566">
        <v>548</v>
      </c>
      <c r="C566" s="80">
        <v>197.1724861618103</v>
      </c>
      <c r="D566" s="81">
        <v>0.18241443830194903</v>
      </c>
    </row>
    <row r="567" spans="2:4" x14ac:dyDescent="0.3">
      <c r="B567">
        <v>549</v>
      </c>
      <c r="C567" s="80">
        <v>465.77412217355175</v>
      </c>
      <c r="D567" s="81">
        <v>0.31234490404049575</v>
      </c>
    </row>
    <row r="568" spans="2:4" x14ac:dyDescent="0.3">
      <c r="B568">
        <v>550</v>
      </c>
      <c r="C568" s="80">
        <v>276.59227107914285</v>
      </c>
      <c r="D568" s="81">
        <v>0.22387034936444028</v>
      </c>
    </row>
    <row r="569" spans="2:4" x14ac:dyDescent="0.3">
      <c r="B569">
        <v>551</v>
      </c>
      <c r="C569" s="80">
        <v>415.22052964644206</v>
      </c>
      <c r="D569" s="81">
        <v>0.25455582293240542</v>
      </c>
    </row>
    <row r="570" spans="2:4" x14ac:dyDescent="0.3">
      <c r="B570">
        <v>552</v>
      </c>
      <c r="C570" s="80">
        <v>235.5977745405072</v>
      </c>
      <c r="D570" s="81">
        <v>0.21720605668806225</v>
      </c>
    </row>
    <row r="571" spans="2:4" x14ac:dyDescent="0.3">
      <c r="B571">
        <v>553</v>
      </c>
      <c r="C571" s="80">
        <v>549.76459097843326</v>
      </c>
      <c r="D571" s="81">
        <v>0.32507147186978136</v>
      </c>
    </row>
    <row r="572" spans="2:4" x14ac:dyDescent="0.3">
      <c r="B572">
        <v>554</v>
      </c>
      <c r="C572" s="80">
        <v>457.58500630749018</v>
      </c>
      <c r="D572" s="81">
        <v>0.28116263853817625</v>
      </c>
    </row>
    <row r="573" spans="2:4" x14ac:dyDescent="0.3">
      <c r="B573">
        <v>555</v>
      </c>
      <c r="C573" s="80">
        <v>568.80263115262619</v>
      </c>
      <c r="D573" s="81">
        <v>0.34463023217729005</v>
      </c>
    </row>
    <row r="574" spans="2:4" x14ac:dyDescent="0.3">
      <c r="B574">
        <v>556</v>
      </c>
      <c r="C574" s="80">
        <v>304.39829541847064</v>
      </c>
      <c r="D574" s="81">
        <v>0.21070823314146403</v>
      </c>
    </row>
    <row r="575" spans="2:4" x14ac:dyDescent="0.3">
      <c r="B575">
        <v>557</v>
      </c>
      <c r="C575" s="80">
        <v>358.49068039505369</v>
      </c>
      <c r="D575" s="81">
        <v>0.22281160481000617</v>
      </c>
    </row>
    <row r="576" spans="2:4" x14ac:dyDescent="0.3">
      <c r="B576">
        <v>558</v>
      </c>
      <c r="C576" s="80">
        <v>578.62763717554981</v>
      </c>
      <c r="D576" s="81">
        <v>0.36616864792631398</v>
      </c>
    </row>
    <row r="577" spans="2:4" x14ac:dyDescent="0.3">
      <c r="B577">
        <v>559</v>
      </c>
      <c r="C577" s="80">
        <v>274.60732918891097</v>
      </c>
      <c r="D577" s="81">
        <v>0.2018812199022253</v>
      </c>
    </row>
    <row r="578" spans="2:4" x14ac:dyDescent="0.3">
      <c r="B578">
        <v>560</v>
      </c>
      <c r="C578" s="80">
        <v>763.39607863836227</v>
      </c>
      <c r="D578" s="81">
        <v>0.5187472252488714</v>
      </c>
    </row>
    <row r="579" spans="2:4" x14ac:dyDescent="0.3">
      <c r="B579">
        <v>561</v>
      </c>
      <c r="C579" s="80">
        <v>438.09642753019989</v>
      </c>
      <c r="D579" s="81">
        <v>0.30568739941155831</v>
      </c>
    </row>
    <row r="580" spans="2:4" x14ac:dyDescent="0.3">
      <c r="B580">
        <v>562</v>
      </c>
      <c r="C580" s="80">
        <v>472.93439697053543</v>
      </c>
      <c r="D580" s="81">
        <v>0.30923566908096989</v>
      </c>
    </row>
    <row r="581" spans="2:4" x14ac:dyDescent="0.3">
      <c r="B581">
        <v>563</v>
      </c>
      <c r="C581" s="80">
        <v>543.64027848235264</v>
      </c>
      <c r="D581" s="81">
        <v>0.37892069842092924</v>
      </c>
    </row>
    <row r="582" spans="2:4" x14ac:dyDescent="0.3">
      <c r="B582">
        <v>564</v>
      </c>
      <c r="C582" s="80">
        <v>207.74328679612745</v>
      </c>
      <c r="D582" s="81">
        <v>0.19445094755218806</v>
      </c>
    </row>
    <row r="583" spans="2:4" x14ac:dyDescent="0.3">
      <c r="B583">
        <v>565</v>
      </c>
      <c r="C583" s="80">
        <v>528.60768118677424</v>
      </c>
      <c r="D583" s="81">
        <v>0.30110065210124159</v>
      </c>
    </row>
    <row r="584" spans="2:4" x14ac:dyDescent="0.3">
      <c r="B584">
        <v>566</v>
      </c>
      <c r="C584" s="80">
        <v>195.17023852222371</v>
      </c>
      <c r="D584" s="81">
        <v>0.19705186820676301</v>
      </c>
    </row>
    <row r="585" spans="2:4" x14ac:dyDescent="0.3">
      <c r="B585">
        <v>567</v>
      </c>
      <c r="C585" s="80">
        <v>277.27033739178614</v>
      </c>
      <c r="D585" s="81">
        <v>0.22963735044578648</v>
      </c>
    </row>
    <row r="586" spans="2:4" x14ac:dyDescent="0.3">
      <c r="B586">
        <v>568</v>
      </c>
      <c r="C586" s="80">
        <v>430.45585818160089</v>
      </c>
      <c r="D586" s="81">
        <v>0.28352819598737788</v>
      </c>
    </row>
    <row r="587" spans="2:4" x14ac:dyDescent="0.3">
      <c r="B587">
        <v>569</v>
      </c>
      <c r="C587" s="80">
        <v>195.89825838002798</v>
      </c>
      <c r="D587" s="81">
        <v>0.20053828100412385</v>
      </c>
    </row>
    <row r="588" spans="2:4" x14ac:dyDescent="0.3">
      <c r="B588">
        <v>570</v>
      </c>
      <c r="C588" s="80">
        <v>314.34122734415712</v>
      </c>
      <c r="D588" s="81">
        <v>0.2177708662608524</v>
      </c>
    </row>
    <row r="589" spans="2:4" x14ac:dyDescent="0.3">
      <c r="B589">
        <v>571</v>
      </c>
      <c r="C589" s="80">
        <v>440.95338921819609</v>
      </c>
      <c r="D589" s="81">
        <v>0.28918018268800361</v>
      </c>
    </row>
    <row r="590" spans="2:4" x14ac:dyDescent="0.3">
      <c r="B590">
        <v>572</v>
      </c>
      <c r="C590" s="80">
        <v>115.03759453779435</v>
      </c>
      <c r="D590" s="81">
        <v>0.15487313689067883</v>
      </c>
    </row>
    <row r="591" spans="2:4" x14ac:dyDescent="0.3">
      <c r="B591">
        <v>573</v>
      </c>
      <c r="C591" s="80">
        <v>314.72575998697516</v>
      </c>
      <c r="D591" s="81">
        <v>0.26680706203350057</v>
      </c>
    </row>
    <row r="592" spans="2:4" x14ac:dyDescent="0.3">
      <c r="B592">
        <v>574</v>
      </c>
      <c r="C592" s="80">
        <v>289.80610899009753</v>
      </c>
      <c r="D592" s="81">
        <v>0.21914174827845345</v>
      </c>
    </row>
    <row r="593" spans="2:4" x14ac:dyDescent="0.3">
      <c r="B593">
        <v>575</v>
      </c>
      <c r="C593" s="80">
        <v>204.60672987132898</v>
      </c>
      <c r="D593" s="81">
        <v>0.19709563492152071</v>
      </c>
    </row>
    <row r="594" spans="2:4" x14ac:dyDescent="0.3">
      <c r="B594">
        <v>576</v>
      </c>
      <c r="C594" s="80">
        <v>474.61094265153611</v>
      </c>
      <c r="D594" s="81">
        <v>0.26781058683204351</v>
      </c>
    </row>
    <row r="595" spans="2:4" x14ac:dyDescent="0.3">
      <c r="B595">
        <v>577</v>
      </c>
      <c r="C595" s="80">
        <v>217.5219730176234</v>
      </c>
      <c r="D595" s="81">
        <v>0.19479467101853731</v>
      </c>
    </row>
    <row r="596" spans="2:4" x14ac:dyDescent="0.3">
      <c r="B596">
        <v>578</v>
      </c>
      <c r="C596" s="80">
        <v>305.4961719299215</v>
      </c>
      <c r="D596" s="81">
        <v>0.23829179197554518</v>
      </c>
    </row>
    <row r="597" spans="2:4" x14ac:dyDescent="0.3">
      <c r="B597">
        <v>579</v>
      </c>
      <c r="C597" s="80">
        <v>348.00014337911125</v>
      </c>
      <c r="D597" s="81">
        <v>0.2341885707253164</v>
      </c>
    </row>
    <row r="598" spans="2:4" x14ac:dyDescent="0.3">
      <c r="B598">
        <v>580</v>
      </c>
      <c r="C598" s="80">
        <v>297.60291133446708</v>
      </c>
      <c r="D598" s="81">
        <v>0.21281149967428803</v>
      </c>
    </row>
    <row r="599" spans="2:4" x14ac:dyDescent="0.3">
      <c r="B599">
        <v>581</v>
      </c>
      <c r="C599" s="80">
        <v>432.69840839786286</v>
      </c>
      <c r="D599" s="81">
        <v>0.25404413293314465</v>
      </c>
    </row>
    <row r="600" spans="2:4" x14ac:dyDescent="0.3">
      <c r="B600">
        <v>582</v>
      </c>
      <c r="C600" s="80">
        <v>239.93954364913213</v>
      </c>
      <c r="D600" s="81">
        <v>0.19223338012922442</v>
      </c>
    </row>
    <row r="601" spans="2:4" x14ac:dyDescent="0.3">
      <c r="B601">
        <v>583</v>
      </c>
      <c r="C601" s="80">
        <v>670.86356442785313</v>
      </c>
      <c r="D601" s="81">
        <v>0.36656851273370084</v>
      </c>
    </row>
    <row r="602" spans="2:4" x14ac:dyDescent="0.3">
      <c r="B602">
        <v>584</v>
      </c>
      <c r="C602" s="80">
        <v>382.98116332968141</v>
      </c>
      <c r="D602" s="81">
        <v>0.28989126021075662</v>
      </c>
    </row>
    <row r="603" spans="2:4" x14ac:dyDescent="0.3">
      <c r="B603">
        <v>585</v>
      </c>
      <c r="C603" s="80">
        <v>202.77695236393549</v>
      </c>
      <c r="D603" s="81">
        <v>0.2213475897502144</v>
      </c>
    </row>
    <row r="604" spans="2:4" x14ac:dyDescent="0.3">
      <c r="B604">
        <v>586</v>
      </c>
      <c r="C604" s="80">
        <v>541.09185129243338</v>
      </c>
      <c r="D604" s="81">
        <v>0.39564251945749507</v>
      </c>
    </row>
    <row r="605" spans="2:4" x14ac:dyDescent="0.3">
      <c r="B605">
        <v>587</v>
      </c>
      <c r="C605" s="80">
        <v>485.83337265250634</v>
      </c>
      <c r="D605" s="81">
        <v>0.34814456008632266</v>
      </c>
    </row>
    <row r="606" spans="2:4" x14ac:dyDescent="0.3">
      <c r="B606">
        <v>588</v>
      </c>
      <c r="C606" s="80">
        <v>306.8343581178533</v>
      </c>
      <c r="D606" s="81">
        <v>0.23913090119041791</v>
      </c>
    </row>
    <row r="607" spans="2:4" x14ac:dyDescent="0.3">
      <c r="B607">
        <v>589</v>
      </c>
      <c r="C607" s="80">
        <v>567.46521584944458</v>
      </c>
      <c r="D607" s="81">
        <v>0.32446568870706649</v>
      </c>
    </row>
    <row r="608" spans="2:4" x14ac:dyDescent="0.3">
      <c r="B608">
        <v>590</v>
      </c>
      <c r="C608" s="80">
        <v>488.69706687712028</v>
      </c>
      <c r="D608" s="81">
        <v>0.32474921998460249</v>
      </c>
    </row>
    <row r="609" spans="2:4" x14ac:dyDescent="0.3">
      <c r="B609">
        <v>591</v>
      </c>
      <c r="C609" s="80">
        <v>406.01334384889708</v>
      </c>
      <c r="D609" s="81">
        <v>0.25900351321654536</v>
      </c>
    </row>
    <row r="610" spans="2:4" x14ac:dyDescent="0.3">
      <c r="B610">
        <v>592</v>
      </c>
      <c r="C610" s="80">
        <v>170.81114087107608</v>
      </c>
      <c r="D610" s="81">
        <v>0.16934274666354865</v>
      </c>
    </row>
    <row r="611" spans="2:4" x14ac:dyDescent="0.3">
      <c r="B611">
        <v>593</v>
      </c>
      <c r="C611" s="80">
        <v>434.77296904691161</v>
      </c>
      <c r="D611" s="81">
        <v>0.31518385406843064</v>
      </c>
    </row>
    <row r="612" spans="2:4" x14ac:dyDescent="0.3">
      <c r="B612">
        <v>594</v>
      </c>
      <c r="C612" s="80">
        <v>42.085629458468247</v>
      </c>
      <c r="D612" s="81">
        <v>0.1312544202143433</v>
      </c>
    </row>
    <row r="613" spans="2:4" x14ac:dyDescent="0.3">
      <c r="B613">
        <v>595</v>
      </c>
      <c r="C613" s="80">
        <v>416.77934581926786</v>
      </c>
      <c r="D613" s="81">
        <v>0.28077220578451967</v>
      </c>
    </row>
    <row r="614" spans="2:4" x14ac:dyDescent="0.3">
      <c r="B614">
        <v>596</v>
      </c>
      <c r="C614" s="80">
        <v>330.08446621199209</v>
      </c>
      <c r="D614" s="81">
        <v>0.24507429438474215</v>
      </c>
    </row>
    <row r="615" spans="2:4" x14ac:dyDescent="0.3">
      <c r="B615">
        <v>597</v>
      </c>
      <c r="C615" s="80">
        <v>479.36850696591137</v>
      </c>
      <c r="D615" s="81">
        <v>0.2742019815146024</v>
      </c>
    </row>
    <row r="616" spans="2:4" x14ac:dyDescent="0.3">
      <c r="B616">
        <v>598</v>
      </c>
      <c r="C616" s="80">
        <v>368.38140502150611</v>
      </c>
      <c r="D616" s="81">
        <v>0.24534014040019581</v>
      </c>
    </row>
    <row r="617" spans="2:4" x14ac:dyDescent="0.3">
      <c r="B617">
        <v>599</v>
      </c>
      <c r="C617" s="80">
        <v>199.47355980322891</v>
      </c>
      <c r="D617" s="81">
        <v>0.17971404634057553</v>
      </c>
    </row>
    <row r="618" spans="2:4" x14ac:dyDescent="0.3">
      <c r="B618">
        <v>600</v>
      </c>
      <c r="C618" s="80">
        <v>282.56988747611967</v>
      </c>
      <c r="D618" s="81">
        <v>0.2436995014677017</v>
      </c>
    </row>
    <row r="619" spans="2:4" x14ac:dyDescent="0.3">
      <c r="B619">
        <v>601</v>
      </c>
      <c r="C619" s="80">
        <v>477.00453288098356</v>
      </c>
      <c r="D619" s="81">
        <v>0.33346479050398181</v>
      </c>
    </row>
    <row r="620" spans="2:4" x14ac:dyDescent="0.3">
      <c r="B620">
        <v>602</v>
      </c>
      <c r="C620" s="80">
        <v>192.09083949901128</v>
      </c>
      <c r="D620" s="81">
        <v>0.20436630960401758</v>
      </c>
    </row>
    <row r="621" spans="2:4" x14ac:dyDescent="0.3">
      <c r="B621">
        <v>603</v>
      </c>
      <c r="C621" s="80">
        <v>418.40431609078416</v>
      </c>
      <c r="D621" s="81">
        <v>0.29431419948730664</v>
      </c>
    </row>
    <row r="622" spans="2:4" x14ac:dyDescent="0.3">
      <c r="B622">
        <v>604</v>
      </c>
      <c r="C622" s="80">
        <v>316.6993157186115</v>
      </c>
      <c r="D622" s="81">
        <v>0.24511647872103071</v>
      </c>
    </row>
    <row r="623" spans="2:4" x14ac:dyDescent="0.3">
      <c r="B623">
        <v>605</v>
      </c>
      <c r="C623" s="80">
        <v>392.32855854222908</v>
      </c>
      <c r="D623" s="81">
        <v>0.27785020011074102</v>
      </c>
    </row>
    <row r="624" spans="2:4" x14ac:dyDescent="0.3">
      <c r="B624">
        <v>606</v>
      </c>
      <c r="C624" s="80">
        <v>460.67144813241271</v>
      </c>
      <c r="D624" s="81">
        <v>0.33251754449203519</v>
      </c>
    </row>
    <row r="625" spans="2:4" x14ac:dyDescent="0.3">
      <c r="B625">
        <v>607</v>
      </c>
      <c r="C625" s="80">
        <v>464.40286043813808</v>
      </c>
      <c r="D625" s="81">
        <v>0.34004500431426865</v>
      </c>
    </row>
    <row r="626" spans="2:4" x14ac:dyDescent="0.3">
      <c r="B626">
        <v>608</v>
      </c>
      <c r="C626" s="80">
        <v>243.54586948465487</v>
      </c>
      <c r="D626" s="81">
        <v>0.2277552673707357</v>
      </c>
    </row>
    <row r="627" spans="2:4" x14ac:dyDescent="0.3">
      <c r="B627">
        <v>609</v>
      </c>
      <c r="C627" s="80">
        <v>213.44530561540353</v>
      </c>
      <c r="D627" s="81">
        <v>0.20400342762427215</v>
      </c>
    </row>
    <row r="628" spans="2:4" x14ac:dyDescent="0.3">
      <c r="B628">
        <v>610</v>
      </c>
      <c r="C628" s="80">
        <v>385.95901992536608</v>
      </c>
      <c r="D628" s="81">
        <v>0.29264601822700231</v>
      </c>
    </row>
    <row r="629" spans="2:4" x14ac:dyDescent="0.3">
      <c r="B629">
        <v>611</v>
      </c>
      <c r="C629" s="80">
        <v>244.45875553530175</v>
      </c>
      <c r="D629" s="81">
        <v>0.20702327406132559</v>
      </c>
    </row>
    <row r="630" spans="2:4" x14ac:dyDescent="0.3">
      <c r="B630">
        <v>612</v>
      </c>
      <c r="C630" s="80">
        <v>111.17830359610912</v>
      </c>
      <c r="D630" s="81">
        <v>0.14836495140632766</v>
      </c>
    </row>
    <row r="631" spans="2:4" x14ac:dyDescent="0.3">
      <c r="B631">
        <v>613</v>
      </c>
      <c r="C631" s="80">
        <v>527.55685460507129</v>
      </c>
      <c r="D631" s="81">
        <v>0.31874945789401643</v>
      </c>
    </row>
    <row r="632" spans="2:4" x14ac:dyDescent="0.3">
      <c r="B632">
        <v>614</v>
      </c>
      <c r="C632" s="80">
        <v>596.90891439029087</v>
      </c>
      <c r="D632" s="81">
        <v>0.36795150980757496</v>
      </c>
    </row>
    <row r="633" spans="2:4" x14ac:dyDescent="0.3">
      <c r="B633">
        <v>615</v>
      </c>
      <c r="C633" s="80">
        <v>558.97157283875094</v>
      </c>
      <c r="D633" s="81">
        <v>0.30380396247939556</v>
      </c>
    </row>
    <row r="634" spans="2:4" x14ac:dyDescent="0.3">
      <c r="B634">
        <v>616</v>
      </c>
      <c r="C634" s="80">
        <v>254.65243369705388</v>
      </c>
      <c r="D634" s="81">
        <v>0.21246450319790933</v>
      </c>
    </row>
    <row r="635" spans="2:4" x14ac:dyDescent="0.3">
      <c r="B635">
        <v>617</v>
      </c>
      <c r="C635" s="80">
        <v>244.88582062266437</v>
      </c>
      <c r="D635" s="81">
        <v>0.22713464852008536</v>
      </c>
    </row>
    <row r="636" spans="2:4" x14ac:dyDescent="0.3">
      <c r="B636">
        <v>618</v>
      </c>
      <c r="C636" s="80">
        <v>193.71513133729286</v>
      </c>
      <c r="D636" s="81">
        <v>0.19470255379950552</v>
      </c>
    </row>
    <row r="637" spans="2:4" x14ac:dyDescent="0.3">
      <c r="B637">
        <v>619</v>
      </c>
      <c r="C637" s="80">
        <v>254.84835022478637</v>
      </c>
      <c r="D637" s="81">
        <v>0.2120523884675527</v>
      </c>
    </row>
    <row r="638" spans="2:4" x14ac:dyDescent="0.3">
      <c r="B638">
        <v>620</v>
      </c>
      <c r="C638" s="80">
        <v>410.49220125357067</v>
      </c>
      <c r="D638" s="81">
        <v>0.29721090049195809</v>
      </c>
    </row>
    <row r="639" spans="2:4" x14ac:dyDescent="0.3">
      <c r="B639">
        <v>621</v>
      </c>
      <c r="C639" s="80">
        <v>402.95824206337511</v>
      </c>
      <c r="D639" s="81">
        <v>0.30874173160064244</v>
      </c>
    </row>
    <row r="640" spans="2:4" x14ac:dyDescent="0.3">
      <c r="B640">
        <v>622</v>
      </c>
      <c r="C640" s="80">
        <v>424.429381337564</v>
      </c>
      <c r="D640" s="81">
        <v>0.30796496496208681</v>
      </c>
    </row>
    <row r="641" spans="2:4" x14ac:dyDescent="0.3">
      <c r="B641">
        <v>623</v>
      </c>
      <c r="C641" s="80">
        <v>633.36640115955038</v>
      </c>
      <c r="D641" s="81">
        <v>0.34662979327470045</v>
      </c>
    </row>
    <row r="642" spans="2:4" x14ac:dyDescent="0.3">
      <c r="B642">
        <v>624</v>
      </c>
      <c r="C642" s="80">
        <v>635.44975825501115</v>
      </c>
      <c r="D642" s="81">
        <v>0.37665232070507471</v>
      </c>
    </row>
    <row r="643" spans="2:4" x14ac:dyDescent="0.3">
      <c r="B643">
        <v>625</v>
      </c>
      <c r="C643" s="80">
        <v>898.53720001937631</v>
      </c>
      <c r="D643" s="81">
        <v>0.43990664768912557</v>
      </c>
    </row>
    <row r="644" spans="2:4" x14ac:dyDescent="0.3">
      <c r="B644">
        <v>626</v>
      </c>
      <c r="C644" s="80">
        <v>622.78159167929175</v>
      </c>
      <c r="D644" s="81">
        <v>0.39303626903480593</v>
      </c>
    </row>
    <row r="645" spans="2:4" x14ac:dyDescent="0.3">
      <c r="B645">
        <v>627</v>
      </c>
      <c r="C645" s="80">
        <v>436.3989990713111</v>
      </c>
      <c r="D645" s="81">
        <v>0.28116564205953742</v>
      </c>
    </row>
    <row r="646" spans="2:4" x14ac:dyDescent="0.3">
      <c r="B646">
        <v>628</v>
      </c>
      <c r="C646" s="80">
        <v>205.64590060718547</v>
      </c>
      <c r="D646" s="81">
        <v>0.21227568552476672</v>
      </c>
    </row>
    <row r="647" spans="2:4" x14ac:dyDescent="0.3">
      <c r="B647">
        <v>629</v>
      </c>
      <c r="C647" s="80">
        <v>484.11695065888739</v>
      </c>
      <c r="D647" s="81">
        <v>0.34739543777116388</v>
      </c>
    </row>
    <row r="648" spans="2:4" x14ac:dyDescent="0.3">
      <c r="B648">
        <v>630</v>
      </c>
      <c r="C648" s="80">
        <v>181.72944699491097</v>
      </c>
      <c r="D648" s="81">
        <v>0.17842008397431175</v>
      </c>
    </row>
    <row r="649" spans="2:4" x14ac:dyDescent="0.3">
      <c r="B649">
        <v>631</v>
      </c>
      <c r="C649" s="80">
        <v>231.11832177978374</v>
      </c>
      <c r="D649" s="81">
        <v>0.21426543343622106</v>
      </c>
    </row>
    <row r="650" spans="2:4" x14ac:dyDescent="0.3">
      <c r="B650">
        <v>632</v>
      </c>
      <c r="C650" s="80">
        <v>300.00934933607016</v>
      </c>
      <c r="D650" s="81">
        <v>0.21875464985846516</v>
      </c>
    </row>
    <row r="651" spans="2:4" x14ac:dyDescent="0.3">
      <c r="B651">
        <v>633</v>
      </c>
      <c r="C651" s="80">
        <v>501.76481693868459</v>
      </c>
      <c r="D651" s="81">
        <v>0.29133475253485308</v>
      </c>
    </row>
    <row r="652" spans="2:4" x14ac:dyDescent="0.3">
      <c r="B652">
        <v>634</v>
      </c>
      <c r="C652" s="80">
        <v>587.75193173771231</v>
      </c>
      <c r="D652" s="81">
        <v>0.37644799896803072</v>
      </c>
    </row>
    <row r="653" spans="2:4" x14ac:dyDescent="0.3">
      <c r="B653">
        <v>635</v>
      </c>
      <c r="C653" s="80">
        <v>510.24423432332537</v>
      </c>
      <c r="D653" s="81">
        <v>0.29288160736114022</v>
      </c>
    </row>
    <row r="654" spans="2:4" x14ac:dyDescent="0.3">
      <c r="B654">
        <v>636</v>
      </c>
      <c r="C654" s="80">
        <v>536.25255148625524</v>
      </c>
      <c r="D654" s="81">
        <v>0.32855594603487948</v>
      </c>
    </row>
    <row r="655" spans="2:4" x14ac:dyDescent="0.3">
      <c r="B655">
        <v>637</v>
      </c>
      <c r="C655" s="80">
        <v>303.4407444314113</v>
      </c>
      <c r="D655" s="81">
        <v>0.21596372983138168</v>
      </c>
    </row>
    <row r="656" spans="2:4" x14ac:dyDescent="0.3">
      <c r="B656">
        <v>638</v>
      </c>
      <c r="C656" s="80">
        <v>160.42851345373742</v>
      </c>
      <c r="D656" s="81">
        <v>0.18317328765576812</v>
      </c>
    </row>
    <row r="657" spans="2:4" x14ac:dyDescent="0.3">
      <c r="B657">
        <v>639</v>
      </c>
      <c r="C657" s="80">
        <v>786.77466278353495</v>
      </c>
      <c r="D657" s="81">
        <v>0.43493821396231391</v>
      </c>
    </row>
    <row r="658" spans="2:4" x14ac:dyDescent="0.3">
      <c r="B658">
        <v>640</v>
      </c>
      <c r="C658" s="80">
        <v>535.53818650326298</v>
      </c>
      <c r="D658" s="81">
        <v>0.30373730400893439</v>
      </c>
    </row>
    <row r="659" spans="2:4" x14ac:dyDescent="0.3">
      <c r="B659">
        <v>641</v>
      </c>
      <c r="C659" s="80">
        <v>489.03673764167706</v>
      </c>
      <c r="D659" s="81">
        <v>0.33092773920238594</v>
      </c>
    </row>
    <row r="660" spans="2:4" x14ac:dyDescent="0.3">
      <c r="B660">
        <v>642</v>
      </c>
      <c r="C660" s="80">
        <v>552.56084995886408</v>
      </c>
      <c r="D660" s="81">
        <v>0.32050920437775021</v>
      </c>
    </row>
    <row r="661" spans="2:4" x14ac:dyDescent="0.3">
      <c r="B661">
        <v>643</v>
      </c>
      <c r="C661" s="80">
        <v>647.08342716395987</v>
      </c>
      <c r="D661" s="81">
        <v>0.37463796525112847</v>
      </c>
    </row>
    <row r="662" spans="2:4" x14ac:dyDescent="0.3">
      <c r="B662">
        <v>644</v>
      </c>
      <c r="C662" s="80">
        <v>127.51542200783456</v>
      </c>
      <c r="D662" s="81">
        <v>0.15922927251799091</v>
      </c>
    </row>
    <row r="663" spans="2:4" x14ac:dyDescent="0.3">
      <c r="B663">
        <v>645</v>
      </c>
      <c r="C663" s="80">
        <v>462.54107825614585</v>
      </c>
      <c r="D663" s="81">
        <v>0.32657711852242</v>
      </c>
    </row>
    <row r="664" spans="2:4" x14ac:dyDescent="0.3">
      <c r="B664">
        <v>646</v>
      </c>
      <c r="C664" s="80">
        <v>409.02938355183301</v>
      </c>
      <c r="D664" s="81">
        <v>0.27600587662925258</v>
      </c>
    </row>
    <row r="665" spans="2:4" x14ac:dyDescent="0.3">
      <c r="B665">
        <v>647</v>
      </c>
      <c r="C665" s="80">
        <v>182.82710225620178</v>
      </c>
      <c r="D665" s="81">
        <v>0.18411855534043076</v>
      </c>
    </row>
    <row r="666" spans="2:4" x14ac:dyDescent="0.3">
      <c r="B666">
        <v>648</v>
      </c>
      <c r="C666" s="80">
        <v>485.38874440783843</v>
      </c>
      <c r="D666" s="81">
        <v>0.33520906524144722</v>
      </c>
    </row>
    <row r="667" spans="2:4" x14ac:dyDescent="0.3">
      <c r="B667">
        <v>649</v>
      </c>
      <c r="C667" s="80">
        <v>267.87297844974341</v>
      </c>
      <c r="D667" s="81">
        <v>0.21797164668768776</v>
      </c>
    </row>
    <row r="668" spans="2:4" x14ac:dyDescent="0.3">
      <c r="B668">
        <v>650</v>
      </c>
      <c r="C668" s="80">
        <v>148.6107954456711</v>
      </c>
      <c r="D668" s="81">
        <v>0.17727428342186236</v>
      </c>
    </row>
    <row r="669" spans="2:4" x14ac:dyDescent="0.3">
      <c r="B669">
        <v>651</v>
      </c>
      <c r="C669" s="80">
        <v>474.41427242757936</v>
      </c>
      <c r="D669" s="81">
        <v>0.29315018022098482</v>
      </c>
    </row>
    <row r="670" spans="2:4" x14ac:dyDescent="0.3">
      <c r="B670">
        <v>652</v>
      </c>
      <c r="C670" s="80">
        <v>617.49725629957925</v>
      </c>
      <c r="D670" s="81">
        <v>0.36205775178662236</v>
      </c>
    </row>
    <row r="671" spans="2:4" x14ac:dyDescent="0.3">
      <c r="B671">
        <v>653</v>
      </c>
      <c r="C671" s="80">
        <v>479.18140950356337</v>
      </c>
      <c r="D671" s="81">
        <v>0.34802051183518978</v>
      </c>
    </row>
    <row r="672" spans="2:4" x14ac:dyDescent="0.3">
      <c r="B672">
        <v>654</v>
      </c>
      <c r="C672" s="80">
        <v>593.61773324934484</v>
      </c>
      <c r="D672" s="81">
        <v>0.3289046589207647</v>
      </c>
    </row>
    <row r="673" spans="2:4" x14ac:dyDescent="0.3">
      <c r="B673">
        <v>655</v>
      </c>
      <c r="C673" s="80">
        <v>754.59287522493446</v>
      </c>
      <c r="D673" s="81">
        <v>0.4325043571638747</v>
      </c>
    </row>
    <row r="674" spans="2:4" x14ac:dyDescent="0.3">
      <c r="B674">
        <v>656</v>
      </c>
      <c r="C674" s="80">
        <v>-87.771580545087488</v>
      </c>
      <c r="D674" s="81">
        <v>7.7713644545078342E-2</v>
      </c>
    </row>
    <row r="675" spans="2:4" x14ac:dyDescent="0.3">
      <c r="B675">
        <v>657</v>
      </c>
      <c r="C675" s="80">
        <v>540.16857967522651</v>
      </c>
      <c r="D675" s="81">
        <v>0.35298134423908234</v>
      </c>
    </row>
    <row r="676" spans="2:4" x14ac:dyDescent="0.3">
      <c r="B676">
        <v>658</v>
      </c>
      <c r="C676" s="80">
        <v>504.97797753909708</v>
      </c>
      <c r="D676" s="81">
        <v>0.30376655116698847</v>
      </c>
    </row>
    <row r="677" spans="2:4" x14ac:dyDescent="0.3">
      <c r="B677">
        <v>659</v>
      </c>
      <c r="C677" s="80">
        <v>436.1153432734659</v>
      </c>
      <c r="D677" s="81">
        <v>0.32209772101208367</v>
      </c>
    </row>
    <row r="678" spans="2:4" x14ac:dyDescent="0.3">
      <c r="B678">
        <v>660</v>
      </c>
      <c r="C678" s="80">
        <v>418.09447865226775</v>
      </c>
      <c r="D678" s="81">
        <v>0.29498684235740269</v>
      </c>
    </row>
    <row r="679" spans="2:4" x14ac:dyDescent="0.3">
      <c r="B679">
        <v>661</v>
      </c>
      <c r="C679" s="80">
        <v>650.52757950812611</v>
      </c>
      <c r="D679" s="81">
        <v>0.42256323091887715</v>
      </c>
    </row>
    <row r="680" spans="2:4" x14ac:dyDescent="0.3">
      <c r="B680">
        <v>662</v>
      </c>
      <c r="C680" s="80">
        <v>320.2561230049696</v>
      </c>
      <c r="D680" s="81">
        <v>0.2221402449201364</v>
      </c>
    </row>
    <row r="681" spans="2:4" x14ac:dyDescent="0.3">
      <c r="B681">
        <v>663</v>
      </c>
      <c r="C681" s="80">
        <v>499.18481226092786</v>
      </c>
      <c r="D681" s="81">
        <v>0.30115397403497424</v>
      </c>
    </row>
    <row r="682" spans="2:4" x14ac:dyDescent="0.3">
      <c r="B682">
        <v>664</v>
      </c>
      <c r="C682" s="80">
        <v>310.42681427666525</v>
      </c>
      <c r="D682" s="81">
        <v>0.2377319889180971</v>
      </c>
    </row>
    <row r="683" spans="2:4" x14ac:dyDescent="0.3">
      <c r="B683">
        <v>665</v>
      </c>
      <c r="C683" s="80">
        <v>498.97443932824376</v>
      </c>
      <c r="D683" s="81">
        <v>0.27838166108109497</v>
      </c>
    </row>
    <row r="684" spans="2:4" x14ac:dyDescent="0.3">
      <c r="B684">
        <v>666</v>
      </c>
      <c r="C684" s="80">
        <v>409.62615897676937</v>
      </c>
      <c r="D684" s="81">
        <v>0.24856582386927117</v>
      </c>
    </row>
    <row r="685" spans="2:4" x14ac:dyDescent="0.3">
      <c r="B685">
        <v>667</v>
      </c>
      <c r="C685" s="80">
        <v>811.31124476343643</v>
      </c>
      <c r="D685" s="81">
        <v>0.44028560421423224</v>
      </c>
    </row>
    <row r="686" spans="2:4" x14ac:dyDescent="0.3">
      <c r="B686">
        <v>668</v>
      </c>
      <c r="C686" s="80">
        <v>295.80035679039293</v>
      </c>
      <c r="D686" s="81">
        <v>0.20925150925010993</v>
      </c>
    </row>
    <row r="687" spans="2:4" x14ac:dyDescent="0.3">
      <c r="B687">
        <v>669</v>
      </c>
      <c r="C687" s="80">
        <v>350.58580793810859</v>
      </c>
      <c r="D687" s="81">
        <v>0.24764613128478663</v>
      </c>
    </row>
    <row r="688" spans="2:4" x14ac:dyDescent="0.3">
      <c r="B688">
        <v>670</v>
      </c>
      <c r="C688" s="80">
        <v>537.29412793041365</v>
      </c>
      <c r="D688" s="81">
        <v>0.34585244909491553</v>
      </c>
    </row>
    <row r="689" spans="2:4" x14ac:dyDescent="0.3">
      <c r="B689">
        <v>671</v>
      </c>
      <c r="C689" s="80">
        <v>280.90169912225474</v>
      </c>
      <c r="D689" s="81">
        <v>0.257228785708431</v>
      </c>
    </row>
    <row r="690" spans="2:4" x14ac:dyDescent="0.3">
      <c r="B690">
        <v>672</v>
      </c>
      <c r="C690" s="80">
        <v>608.23400325910029</v>
      </c>
      <c r="D690" s="81">
        <v>0.29822467967846955</v>
      </c>
    </row>
    <row r="691" spans="2:4" x14ac:dyDescent="0.3">
      <c r="B691">
        <v>673</v>
      </c>
      <c r="C691" s="80">
        <v>139.64859069799718</v>
      </c>
      <c r="D691" s="81">
        <v>0.15880762308678209</v>
      </c>
    </row>
    <row r="692" spans="2:4" x14ac:dyDescent="0.3">
      <c r="B692">
        <v>674</v>
      </c>
      <c r="C692" s="80">
        <v>338.5450764529395</v>
      </c>
      <c r="D692" s="81">
        <v>0.27880886545726202</v>
      </c>
    </row>
    <row r="693" spans="2:4" x14ac:dyDescent="0.3">
      <c r="B693">
        <v>675</v>
      </c>
      <c r="C693" s="80">
        <v>624.58442711840689</v>
      </c>
      <c r="D693" s="81">
        <v>0.33920728304938019</v>
      </c>
    </row>
    <row r="694" spans="2:4" x14ac:dyDescent="0.3">
      <c r="B694">
        <v>676</v>
      </c>
      <c r="C694" s="80">
        <v>325.46669890090618</v>
      </c>
      <c r="D694" s="81">
        <v>0.26349213011716444</v>
      </c>
    </row>
    <row r="695" spans="2:4" x14ac:dyDescent="0.3">
      <c r="B695">
        <v>677</v>
      </c>
      <c r="C695" s="80">
        <v>452.90504644674388</v>
      </c>
      <c r="D695" s="81">
        <v>0.2621682922210411</v>
      </c>
    </row>
    <row r="696" spans="2:4" x14ac:dyDescent="0.3">
      <c r="B696">
        <v>678</v>
      </c>
      <c r="C696" s="80">
        <v>138.33093249851845</v>
      </c>
      <c r="D696" s="81">
        <v>0.16333133611673967</v>
      </c>
    </row>
    <row r="697" spans="2:4" x14ac:dyDescent="0.3">
      <c r="B697">
        <v>679</v>
      </c>
      <c r="C697" s="80">
        <v>467.73484611346714</v>
      </c>
      <c r="D697" s="81">
        <v>0.34067717364590533</v>
      </c>
    </row>
    <row r="698" spans="2:4" x14ac:dyDescent="0.3">
      <c r="B698">
        <v>680</v>
      </c>
      <c r="C698" s="80">
        <v>768.95975495997095</v>
      </c>
      <c r="D698" s="81">
        <v>0.41337692178404617</v>
      </c>
    </row>
    <row r="699" spans="2:4" x14ac:dyDescent="0.3">
      <c r="B699">
        <v>681</v>
      </c>
      <c r="C699" s="80">
        <v>286.97029000699729</v>
      </c>
      <c r="D699" s="81">
        <v>0.24877211272877808</v>
      </c>
    </row>
    <row r="700" spans="2:4" x14ac:dyDescent="0.3">
      <c r="B700">
        <v>682</v>
      </c>
      <c r="C700" s="80">
        <v>290.75435986678963</v>
      </c>
      <c r="D700" s="81">
        <v>0.22176913910489793</v>
      </c>
    </row>
    <row r="701" spans="2:4" x14ac:dyDescent="0.3">
      <c r="B701">
        <v>683</v>
      </c>
      <c r="C701" s="80">
        <v>259.68514456902949</v>
      </c>
      <c r="D701" s="81">
        <v>0.19698010216452833</v>
      </c>
    </row>
    <row r="702" spans="2:4" x14ac:dyDescent="0.3">
      <c r="B702">
        <v>684</v>
      </c>
      <c r="C702" s="80">
        <v>878.53336067883151</v>
      </c>
      <c r="D702" s="81">
        <v>0.51796169827775507</v>
      </c>
    </row>
    <row r="703" spans="2:4" x14ac:dyDescent="0.3">
      <c r="B703">
        <v>685</v>
      </c>
      <c r="C703" s="80">
        <v>397.12223100212827</v>
      </c>
      <c r="D703" s="81">
        <v>0.27132271520449969</v>
      </c>
    </row>
    <row r="704" spans="2:4" x14ac:dyDescent="0.3">
      <c r="B704">
        <v>686</v>
      </c>
      <c r="C704" s="80">
        <v>315.3354465200315</v>
      </c>
      <c r="D704" s="81">
        <v>0.23980865330178736</v>
      </c>
    </row>
    <row r="705" spans="2:4" x14ac:dyDescent="0.3">
      <c r="B705">
        <v>687</v>
      </c>
      <c r="C705" s="80">
        <v>467.9263617030465</v>
      </c>
      <c r="D705" s="81">
        <v>0.34556898085987098</v>
      </c>
    </row>
    <row r="706" spans="2:4" x14ac:dyDescent="0.3">
      <c r="B706">
        <v>688</v>
      </c>
      <c r="C706" s="80">
        <v>540.27184893637468</v>
      </c>
      <c r="D706" s="81">
        <v>0.35582690013978868</v>
      </c>
    </row>
    <row r="707" spans="2:4" x14ac:dyDescent="0.3">
      <c r="B707">
        <v>689</v>
      </c>
      <c r="C707" s="80">
        <v>339.05168010023601</v>
      </c>
      <c r="D707" s="81">
        <v>0.23484316248739279</v>
      </c>
    </row>
    <row r="708" spans="2:4" x14ac:dyDescent="0.3">
      <c r="B708">
        <v>690</v>
      </c>
      <c r="C708" s="80">
        <v>420.93299194497752</v>
      </c>
      <c r="D708" s="81">
        <v>0.28265422290767783</v>
      </c>
    </row>
    <row r="709" spans="2:4" x14ac:dyDescent="0.3">
      <c r="B709">
        <v>691</v>
      </c>
      <c r="C709" s="80">
        <v>132.94191037503833</v>
      </c>
      <c r="D709" s="81">
        <v>0.16620335468196701</v>
      </c>
    </row>
    <row r="710" spans="2:4" x14ac:dyDescent="0.3">
      <c r="B710">
        <v>692</v>
      </c>
      <c r="C710" s="80">
        <v>523.6188970632827</v>
      </c>
      <c r="D710" s="81">
        <v>0.31109058728184147</v>
      </c>
    </row>
    <row r="711" spans="2:4" x14ac:dyDescent="0.3">
      <c r="B711">
        <v>693</v>
      </c>
      <c r="C711" s="80">
        <v>472.33884819833247</v>
      </c>
      <c r="D711" s="81">
        <v>0.26525910506673167</v>
      </c>
    </row>
    <row r="712" spans="2:4" x14ac:dyDescent="0.3">
      <c r="B712">
        <v>694</v>
      </c>
      <c r="C712" s="80">
        <v>482.05582470702871</v>
      </c>
      <c r="D712" s="81">
        <v>0.27508596289090947</v>
      </c>
    </row>
    <row r="713" spans="2:4" x14ac:dyDescent="0.3">
      <c r="B713">
        <v>695</v>
      </c>
      <c r="C713" s="80">
        <v>560.36792059186473</v>
      </c>
      <c r="D713" s="81">
        <v>0.39089470626264777</v>
      </c>
    </row>
    <row r="714" spans="2:4" x14ac:dyDescent="0.3">
      <c r="B714">
        <v>696</v>
      </c>
      <c r="C714" s="80">
        <v>269.67327051346206</v>
      </c>
      <c r="D714" s="81">
        <v>0.20468272743469984</v>
      </c>
    </row>
    <row r="715" spans="2:4" x14ac:dyDescent="0.3">
      <c r="B715">
        <v>697</v>
      </c>
      <c r="C715" s="80">
        <v>513.02155579103396</v>
      </c>
      <c r="D715" s="81">
        <v>0.30886869407915452</v>
      </c>
    </row>
    <row r="716" spans="2:4" x14ac:dyDescent="0.3">
      <c r="B716">
        <v>698</v>
      </c>
      <c r="C716" s="80">
        <v>354.93688470372933</v>
      </c>
      <c r="D716" s="81">
        <v>0.27734680980999715</v>
      </c>
    </row>
    <row r="717" spans="2:4" x14ac:dyDescent="0.3">
      <c r="B717">
        <v>699</v>
      </c>
      <c r="C717" s="80">
        <v>574.25862426124036</v>
      </c>
      <c r="D717" s="81">
        <v>0.35017086243609152</v>
      </c>
    </row>
    <row r="718" spans="2:4" x14ac:dyDescent="0.3">
      <c r="B718">
        <v>700</v>
      </c>
      <c r="C718" s="80">
        <v>407.57751296680021</v>
      </c>
      <c r="D718" s="81">
        <v>0.2543525642461355</v>
      </c>
    </row>
    <row r="719" spans="2:4" x14ac:dyDescent="0.3">
      <c r="B719">
        <v>701</v>
      </c>
      <c r="C719" s="80">
        <v>308.84269121820284</v>
      </c>
      <c r="D719" s="81">
        <v>0.26060680595408425</v>
      </c>
    </row>
    <row r="720" spans="2:4" x14ac:dyDescent="0.3">
      <c r="B720">
        <v>702</v>
      </c>
      <c r="C720" s="80">
        <v>625.15532695218917</v>
      </c>
      <c r="D720" s="81">
        <v>0.37929680415362554</v>
      </c>
    </row>
    <row r="721" spans="2:4" x14ac:dyDescent="0.3">
      <c r="B721">
        <v>703</v>
      </c>
      <c r="C721" s="80">
        <v>490.32127580721999</v>
      </c>
      <c r="D721" s="81">
        <v>0.30693346937596711</v>
      </c>
    </row>
    <row r="722" spans="2:4" x14ac:dyDescent="0.3">
      <c r="B722">
        <v>704</v>
      </c>
      <c r="C722" s="80">
        <v>485.62232773003666</v>
      </c>
      <c r="D722" s="81">
        <v>0.30582631995959142</v>
      </c>
    </row>
    <row r="723" spans="2:4" x14ac:dyDescent="0.3">
      <c r="B723">
        <v>705</v>
      </c>
      <c r="C723" s="80">
        <v>463.80445238974426</v>
      </c>
      <c r="D723" s="81">
        <v>0.28188903862202963</v>
      </c>
    </row>
    <row r="724" spans="2:4" x14ac:dyDescent="0.3">
      <c r="B724">
        <v>706</v>
      </c>
      <c r="C724" s="80">
        <v>528.73594547383414</v>
      </c>
      <c r="D724" s="81">
        <v>0.35259435186163612</v>
      </c>
    </row>
    <row r="725" spans="2:4" x14ac:dyDescent="0.3">
      <c r="B725">
        <v>707</v>
      </c>
      <c r="C725" s="80">
        <v>584.94685077355871</v>
      </c>
      <c r="D725" s="81">
        <v>0.41099592605313395</v>
      </c>
    </row>
    <row r="726" spans="2:4" x14ac:dyDescent="0.3">
      <c r="B726">
        <v>708</v>
      </c>
      <c r="C726" s="80">
        <v>458.97814482323929</v>
      </c>
      <c r="D726" s="81">
        <v>0.30026296137921205</v>
      </c>
    </row>
    <row r="727" spans="2:4" x14ac:dyDescent="0.3">
      <c r="B727">
        <v>709</v>
      </c>
      <c r="C727" s="80">
        <v>371.94121709035346</v>
      </c>
      <c r="D727" s="81">
        <v>0.26784685019344456</v>
      </c>
    </row>
    <row r="728" spans="2:4" x14ac:dyDescent="0.3">
      <c r="B728">
        <v>710</v>
      </c>
      <c r="C728" s="80">
        <v>528.77288198357473</v>
      </c>
      <c r="D728" s="81">
        <v>0.31918224080606561</v>
      </c>
    </row>
    <row r="729" spans="2:4" x14ac:dyDescent="0.3">
      <c r="B729">
        <v>711</v>
      </c>
      <c r="C729" s="80">
        <v>179.07043423936409</v>
      </c>
      <c r="D729" s="81">
        <v>0.18832335501722541</v>
      </c>
    </row>
    <row r="730" spans="2:4" x14ac:dyDescent="0.3">
      <c r="B730">
        <v>712</v>
      </c>
      <c r="C730" s="80">
        <v>487.90830832079973</v>
      </c>
      <c r="D730" s="81">
        <v>0.28011466001226148</v>
      </c>
    </row>
    <row r="731" spans="2:4" x14ac:dyDescent="0.3">
      <c r="B731">
        <v>713</v>
      </c>
      <c r="C731" s="80">
        <v>511.90543551431688</v>
      </c>
      <c r="D731" s="81">
        <v>0.37527765470383012</v>
      </c>
    </row>
    <row r="732" spans="2:4" x14ac:dyDescent="0.3">
      <c r="B732">
        <v>714</v>
      </c>
      <c r="C732" s="80">
        <v>482.34742488120537</v>
      </c>
      <c r="D732" s="81">
        <v>0.32214722990246969</v>
      </c>
    </row>
    <row r="733" spans="2:4" x14ac:dyDescent="0.3">
      <c r="B733">
        <v>715</v>
      </c>
      <c r="C733" s="80">
        <v>56.762625055140461</v>
      </c>
      <c r="D733" s="81">
        <v>0.13098668485522369</v>
      </c>
    </row>
    <row r="734" spans="2:4" x14ac:dyDescent="0.3">
      <c r="B734">
        <v>716</v>
      </c>
      <c r="C734" s="80">
        <v>555.4057549500169</v>
      </c>
      <c r="D734" s="81">
        <v>0.31441757660256386</v>
      </c>
    </row>
    <row r="735" spans="2:4" x14ac:dyDescent="0.3">
      <c r="B735">
        <v>717</v>
      </c>
      <c r="C735" s="80">
        <v>323.72676334746984</v>
      </c>
      <c r="D735" s="81">
        <v>0.21788706569548832</v>
      </c>
    </row>
    <row r="736" spans="2:4" x14ac:dyDescent="0.3">
      <c r="B736">
        <v>718</v>
      </c>
      <c r="C736" s="80">
        <v>484.05387207505669</v>
      </c>
      <c r="D736" s="81">
        <v>0.34458061071769897</v>
      </c>
    </row>
    <row r="737" spans="2:4" x14ac:dyDescent="0.3">
      <c r="B737">
        <v>719</v>
      </c>
      <c r="C737" s="80">
        <v>286.54581734725002</v>
      </c>
      <c r="D737" s="81">
        <v>0.22811597446621379</v>
      </c>
    </row>
    <row r="738" spans="2:4" x14ac:dyDescent="0.3">
      <c r="B738">
        <v>720</v>
      </c>
      <c r="C738" s="80">
        <v>21.331302324178864</v>
      </c>
      <c r="D738" s="81">
        <v>0.12359711966366449</v>
      </c>
    </row>
    <row r="739" spans="2:4" x14ac:dyDescent="0.3">
      <c r="B739">
        <v>721</v>
      </c>
      <c r="C739" s="80">
        <v>751.01561025490355</v>
      </c>
      <c r="D739" s="81">
        <v>0.41022673602614135</v>
      </c>
    </row>
    <row r="740" spans="2:4" x14ac:dyDescent="0.3">
      <c r="B740">
        <v>722</v>
      </c>
      <c r="C740" s="80">
        <v>446.71179448374755</v>
      </c>
      <c r="D740" s="81">
        <v>0.28296088551102661</v>
      </c>
    </row>
    <row r="741" spans="2:4" x14ac:dyDescent="0.3">
      <c r="B741">
        <v>723</v>
      </c>
      <c r="C741" s="80">
        <v>398.80109781447391</v>
      </c>
      <c r="D741" s="81">
        <v>0.24960540927758812</v>
      </c>
    </row>
    <row r="742" spans="2:4" x14ac:dyDescent="0.3">
      <c r="B742">
        <v>724</v>
      </c>
      <c r="C742" s="80">
        <v>530.74961801905442</v>
      </c>
      <c r="D742" s="81">
        <v>0.34847588153425169</v>
      </c>
    </row>
    <row r="743" spans="2:4" x14ac:dyDescent="0.3">
      <c r="B743">
        <v>725</v>
      </c>
      <c r="C743" s="80">
        <v>342.84198748765027</v>
      </c>
      <c r="D743" s="81">
        <v>0.22656846122433971</v>
      </c>
    </row>
    <row r="744" spans="2:4" x14ac:dyDescent="0.3">
      <c r="B744">
        <v>726</v>
      </c>
      <c r="C744" s="80">
        <v>174.0751697171255</v>
      </c>
      <c r="D744" s="81">
        <v>0.18240135437718141</v>
      </c>
    </row>
    <row r="745" spans="2:4" x14ac:dyDescent="0.3">
      <c r="B745">
        <v>727</v>
      </c>
      <c r="C745" s="80">
        <v>496.5903037419771</v>
      </c>
      <c r="D745" s="81">
        <v>0.27647083210406764</v>
      </c>
    </row>
    <row r="746" spans="2:4" x14ac:dyDescent="0.3">
      <c r="B746">
        <v>728</v>
      </c>
      <c r="C746" s="80">
        <v>171.24793798300652</v>
      </c>
      <c r="D746" s="81">
        <v>0.19063954137459382</v>
      </c>
    </row>
    <row r="747" spans="2:4" x14ac:dyDescent="0.3">
      <c r="B747">
        <v>729</v>
      </c>
      <c r="C747" s="80">
        <v>668.05095372364303</v>
      </c>
      <c r="D747" s="81">
        <v>0.38682566013851205</v>
      </c>
    </row>
    <row r="748" spans="2:4" x14ac:dyDescent="0.3">
      <c r="B748">
        <v>730</v>
      </c>
      <c r="C748" s="80">
        <v>549.91375267112676</v>
      </c>
      <c r="D748" s="81">
        <v>0.38928495636904037</v>
      </c>
    </row>
    <row r="749" spans="2:4" x14ac:dyDescent="0.3">
      <c r="B749">
        <v>731</v>
      </c>
      <c r="C749" s="80">
        <v>384.20766066501096</v>
      </c>
      <c r="D749" s="81">
        <v>0.27381263936573563</v>
      </c>
    </row>
    <row r="750" spans="2:4" x14ac:dyDescent="0.3">
      <c r="B750">
        <v>732</v>
      </c>
      <c r="C750" s="80">
        <v>235.19575452582183</v>
      </c>
      <c r="D750" s="81">
        <v>0.20398933604707126</v>
      </c>
    </row>
    <row r="751" spans="2:4" x14ac:dyDescent="0.3">
      <c r="B751">
        <v>733</v>
      </c>
      <c r="C751" s="80">
        <v>628.70747219251575</v>
      </c>
      <c r="D751" s="81">
        <v>0.35341058019830185</v>
      </c>
    </row>
    <row r="752" spans="2:4" x14ac:dyDescent="0.3">
      <c r="B752">
        <v>734</v>
      </c>
      <c r="C752" s="80">
        <v>520.55437390050679</v>
      </c>
      <c r="D752" s="81">
        <v>0.31176194504757615</v>
      </c>
    </row>
    <row r="753" spans="2:4" x14ac:dyDescent="0.3">
      <c r="B753">
        <v>735</v>
      </c>
      <c r="C753" s="80">
        <v>479.59883192916823</v>
      </c>
      <c r="D753" s="81">
        <v>0.32599172517838948</v>
      </c>
    </row>
    <row r="754" spans="2:4" x14ac:dyDescent="0.3">
      <c r="B754">
        <v>736</v>
      </c>
      <c r="C754" s="80">
        <v>443.1492936918313</v>
      </c>
      <c r="D754" s="81">
        <v>0.30250831335357176</v>
      </c>
    </row>
    <row r="755" spans="2:4" x14ac:dyDescent="0.3">
      <c r="B755">
        <v>737</v>
      </c>
      <c r="C755" s="80">
        <v>484.13970859528695</v>
      </c>
      <c r="D755" s="81">
        <v>0.31136269441084097</v>
      </c>
    </row>
    <row r="756" spans="2:4" x14ac:dyDescent="0.3">
      <c r="B756">
        <v>738</v>
      </c>
      <c r="C756" s="80">
        <v>102.38688280950271</v>
      </c>
      <c r="D756" s="81">
        <v>0.16280673782865174</v>
      </c>
    </row>
    <row r="757" spans="2:4" x14ac:dyDescent="0.3">
      <c r="B757">
        <v>739</v>
      </c>
      <c r="C757" s="80">
        <v>301.08562607699548</v>
      </c>
      <c r="D757" s="81">
        <v>0.25466166536634316</v>
      </c>
    </row>
    <row r="758" spans="2:4" x14ac:dyDescent="0.3">
      <c r="B758">
        <v>740</v>
      </c>
      <c r="C758" s="80">
        <v>409.31345960269744</v>
      </c>
      <c r="D758" s="81">
        <v>0.2715332877743537</v>
      </c>
    </row>
    <row r="759" spans="2:4" x14ac:dyDescent="0.3">
      <c r="B759">
        <v>741</v>
      </c>
      <c r="C759" s="80">
        <v>249.55520951141682</v>
      </c>
      <c r="D759" s="81">
        <v>0.19894973106008429</v>
      </c>
    </row>
    <row r="760" spans="2:4" x14ac:dyDescent="0.3">
      <c r="B760">
        <v>742</v>
      </c>
      <c r="C760" s="80">
        <v>560.33033082311727</v>
      </c>
      <c r="D760" s="81">
        <v>0.32773982958876502</v>
      </c>
    </row>
    <row r="761" spans="2:4" x14ac:dyDescent="0.3">
      <c r="B761">
        <v>743</v>
      </c>
      <c r="C761" s="80">
        <v>471.26988472851929</v>
      </c>
      <c r="D761" s="81">
        <v>0.37043059631536623</v>
      </c>
    </row>
    <row r="762" spans="2:4" x14ac:dyDescent="0.3">
      <c r="B762">
        <v>744</v>
      </c>
      <c r="C762" s="80">
        <v>138.74377812500791</v>
      </c>
      <c r="D762" s="81">
        <v>0.16669250525916879</v>
      </c>
    </row>
    <row r="763" spans="2:4" x14ac:dyDescent="0.3">
      <c r="B763">
        <v>745</v>
      </c>
      <c r="C763" s="80">
        <v>469.62405151325743</v>
      </c>
      <c r="D763" s="81">
        <v>0.2925005660178861</v>
      </c>
    </row>
    <row r="764" spans="2:4" x14ac:dyDescent="0.3">
      <c r="B764">
        <v>746</v>
      </c>
      <c r="C764" s="80">
        <v>217.48186688821249</v>
      </c>
      <c r="D764" s="81">
        <v>0.21111197779538715</v>
      </c>
    </row>
    <row r="765" spans="2:4" x14ac:dyDescent="0.3">
      <c r="B765">
        <v>747</v>
      </c>
      <c r="C765" s="80">
        <v>201.73188345725725</v>
      </c>
      <c r="D765" s="81">
        <v>0.18634796525014363</v>
      </c>
    </row>
    <row r="766" spans="2:4" x14ac:dyDescent="0.3">
      <c r="B766">
        <v>748</v>
      </c>
      <c r="C766" s="80">
        <v>515.10728404257816</v>
      </c>
      <c r="D766" s="81">
        <v>0.3191902356283205</v>
      </c>
    </row>
    <row r="767" spans="2:4" x14ac:dyDescent="0.3">
      <c r="B767">
        <v>749</v>
      </c>
      <c r="C767" s="80">
        <v>546.42400636641923</v>
      </c>
      <c r="D767" s="81">
        <v>0.3533561088782402</v>
      </c>
    </row>
    <row r="768" spans="2:4" x14ac:dyDescent="0.3">
      <c r="B768">
        <v>750</v>
      </c>
      <c r="C768" s="80">
        <v>516.73170940827345</v>
      </c>
      <c r="D768" s="81">
        <v>0.29494368785996361</v>
      </c>
    </row>
    <row r="769" spans="2:4" x14ac:dyDescent="0.3">
      <c r="B769">
        <v>751</v>
      </c>
      <c r="C769" s="80">
        <v>526.10081212718319</v>
      </c>
      <c r="D769" s="81">
        <v>0.32593180244099362</v>
      </c>
    </row>
    <row r="770" spans="2:4" x14ac:dyDescent="0.3">
      <c r="B770">
        <v>752</v>
      </c>
      <c r="C770" s="80">
        <v>530.30858034110634</v>
      </c>
      <c r="D770" s="81">
        <v>0.31450394950217486</v>
      </c>
    </row>
    <row r="771" spans="2:4" x14ac:dyDescent="0.3">
      <c r="B771">
        <v>753</v>
      </c>
      <c r="C771" s="80">
        <v>139.16987960721838</v>
      </c>
      <c r="D771" s="81">
        <v>0.16255126861408975</v>
      </c>
    </row>
    <row r="772" spans="2:4" x14ac:dyDescent="0.3">
      <c r="B772">
        <v>754</v>
      </c>
      <c r="C772" s="80">
        <v>403.21405579316615</v>
      </c>
      <c r="D772" s="81">
        <v>0.28588758230581313</v>
      </c>
    </row>
    <row r="773" spans="2:4" x14ac:dyDescent="0.3">
      <c r="B773">
        <v>755</v>
      </c>
      <c r="C773" s="80">
        <v>532.92646208844508</v>
      </c>
      <c r="D773" s="81">
        <v>0.33119771416406696</v>
      </c>
    </row>
    <row r="774" spans="2:4" x14ac:dyDescent="0.3">
      <c r="B774">
        <v>756</v>
      </c>
      <c r="C774" s="80">
        <v>399.41061776817901</v>
      </c>
      <c r="D774" s="81">
        <v>0.2657457277119637</v>
      </c>
    </row>
    <row r="775" spans="2:4" x14ac:dyDescent="0.3">
      <c r="B775">
        <v>757</v>
      </c>
      <c r="C775" s="80">
        <v>449.70159238548172</v>
      </c>
      <c r="D775" s="81">
        <v>0.27116283285535592</v>
      </c>
    </row>
    <row r="776" spans="2:4" x14ac:dyDescent="0.3">
      <c r="B776">
        <v>758</v>
      </c>
      <c r="C776" s="80">
        <v>490.95323391369129</v>
      </c>
      <c r="D776" s="81">
        <v>0.3335317399149571</v>
      </c>
    </row>
    <row r="777" spans="2:4" x14ac:dyDescent="0.3">
      <c r="B777">
        <v>759</v>
      </c>
      <c r="C777" s="80">
        <v>314.77926290936955</v>
      </c>
      <c r="D777" s="81">
        <v>0.22995454498040124</v>
      </c>
    </row>
    <row r="778" spans="2:4" x14ac:dyDescent="0.3">
      <c r="B778">
        <v>760</v>
      </c>
      <c r="C778" s="80">
        <v>-45.866777290635071</v>
      </c>
      <c r="D778" s="81">
        <v>9.8458855370321174E-2</v>
      </c>
    </row>
    <row r="779" spans="2:4" x14ac:dyDescent="0.3">
      <c r="B779">
        <v>761</v>
      </c>
      <c r="C779" s="80">
        <v>495.21294874938008</v>
      </c>
      <c r="D779" s="81">
        <v>0.32406543932980925</v>
      </c>
    </row>
    <row r="780" spans="2:4" x14ac:dyDescent="0.3">
      <c r="B780">
        <v>762</v>
      </c>
      <c r="C780" s="80">
        <v>287.36726079993571</v>
      </c>
      <c r="D780" s="81">
        <v>0.26021330513176477</v>
      </c>
    </row>
    <row r="781" spans="2:4" x14ac:dyDescent="0.3">
      <c r="B781">
        <v>763</v>
      </c>
      <c r="C781" s="80">
        <v>154.31310999452649</v>
      </c>
      <c r="D781" s="81">
        <v>0.18086230449839813</v>
      </c>
    </row>
    <row r="782" spans="2:4" x14ac:dyDescent="0.3">
      <c r="B782">
        <v>764</v>
      </c>
      <c r="C782" s="80">
        <v>736.7299392782827</v>
      </c>
      <c r="D782" s="81">
        <v>0.45622197260824993</v>
      </c>
    </row>
    <row r="783" spans="2:4" x14ac:dyDescent="0.3">
      <c r="B783">
        <v>765</v>
      </c>
      <c r="C783" s="80">
        <v>378.07933221315841</v>
      </c>
      <c r="D783" s="81">
        <v>0.29549131399718909</v>
      </c>
    </row>
    <row r="784" spans="2:4" x14ac:dyDescent="0.3">
      <c r="B784">
        <v>766</v>
      </c>
      <c r="C784" s="80">
        <v>19.090831490234223</v>
      </c>
      <c r="D784" s="81">
        <v>0.1222421296273275</v>
      </c>
    </row>
    <row r="785" spans="2:4" x14ac:dyDescent="0.3">
      <c r="B785">
        <v>767</v>
      </c>
      <c r="C785" s="80">
        <v>145.9930817978784</v>
      </c>
      <c r="D785" s="81">
        <v>0.17171845574201305</v>
      </c>
    </row>
    <row r="786" spans="2:4" x14ac:dyDescent="0.3">
      <c r="B786">
        <v>768</v>
      </c>
      <c r="C786" s="80">
        <v>78.523022305889867</v>
      </c>
      <c r="D786" s="81">
        <v>0.14293204815001781</v>
      </c>
    </row>
    <row r="787" spans="2:4" x14ac:dyDescent="0.3">
      <c r="B787">
        <v>769</v>
      </c>
      <c r="C787" s="80">
        <v>487.43130180545131</v>
      </c>
      <c r="D787" s="81">
        <v>0.32302852972380736</v>
      </c>
    </row>
    <row r="788" spans="2:4" x14ac:dyDescent="0.3">
      <c r="B788">
        <v>770</v>
      </c>
      <c r="C788" s="80">
        <v>392.68094430083897</v>
      </c>
      <c r="D788" s="81">
        <v>0.26345357554528803</v>
      </c>
    </row>
    <row r="789" spans="2:4" x14ac:dyDescent="0.3">
      <c r="B789">
        <v>771</v>
      </c>
      <c r="C789" s="80">
        <v>467.52884689917073</v>
      </c>
      <c r="D789" s="81">
        <v>0.28222646809045315</v>
      </c>
    </row>
    <row r="790" spans="2:4" x14ac:dyDescent="0.3">
      <c r="B790">
        <v>772</v>
      </c>
      <c r="C790" s="80">
        <v>268.57932951887813</v>
      </c>
      <c r="D790" s="81">
        <v>0.20413590353776256</v>
      </c>
    </row>
    <row r="791" spans="2:4" x14ac:dyDescent="0.3">
      <c r="B791">
        <v>773</v>
      </c>
      <c r="C791" s="80">
        <v>562.77443117267262</v>
      </c>
      <c r="D791" s="81">
        <v>0.35827074204425924</v>
      </c>
    </row>
    <row r="792" spans="2:4" x14ac:dyDescent="0.3">
      <c r="B792">
        <v>774</v>
      </c>
      <c r="C792" s="80">
        <v>539.34054123152396</v>
      </c>
      <c r="D792" s="81">
        <v>0.31951557163515143</v>
      </c>
    </row>
    <row r="793" spans="2:4" x14ac:dyDescent="0.3">
      <c r="B793">
        <v>775</v>
      </c>
      <c r="C793" s="80">
        <v>560.61363499776667</v>
      </c>
      <c r="D793" s="81">
        <v>0.39147812444868535</v>
      </c>
    </row>
    <row r="794" spans="2:4" x14ac:dyDescent="0.3">
      <c r="B794">
        <v>776</v>
      </c>
      <c r="C794" s="80">
        <v>357.44131043720506</v>
      </c>
      <c r="D794" s="81">
        <v>0.24914052446246115</v>
      </c>
    </row>
    <row r="795" spans="2:4" x14ac:dyDescent="0.3">
      <c r="B795">
        <v>777</v>
      </c>
      <c r="C795" s="80">
        <v>232.94525069074234</v>
      </c>
      <c r="D795" s="81">
        <v>0.19237152836529137</v>
      </c>
    </row>
    <row r="796" spans="2:4" x14ac:dyDescent="0.3">
      <c r="B796">
        <v>778</v>
      </c>
      <c r="C796" s="80">
        <v>188.79441659842325</v>
      </c>
      <c r="D796" s="81">
        <v>0.19665431804253619</v>
      </c>
    </row>
    <row r="797" spans="2:4" x14ac:dyDescent="0.3">
      <c r="B797">
        <v>779</v>
      </c>
      <c r="C797" s="80">
        <v>405.09923537811994</v>
      </c>
      <c r="D797" s="81">
        <v>0.29363257383032204</v>
      </c>
    </row>
    <row r="798" spans="2:4" x14ac:dyDescent="0.3">
      <c r="B798">
        <v>780</v>
      </c>
      <c r="C798" s="80">
        <v>307.09170822687065</v>
      </c>
      <c r="D798" s="81">
        <v>0.22207334804697809</v>
      </c>
    </row>
    <row r="799" spans="2:4" x14ac:dyDescent="0.3">
      <c r="B799">
        <v>781</v>
      </c>
      <c r="C799" s="80">
        <v>451.46050211150248</v>
      </c>
      <c r="D799" s="81">
        <v>0.2994555916934607</v>
      </c>
    </row>
    <row r="800" spans="2:4" x14ac:dyDescent="0.3">
      <c r="B800">
        <v>782</v>
      </c>
      <c r="C800" s="80">
        <v>242.01318769806278</v>
      </c>
      <c r="D800" s="81">
        <v>0.19306073466398765</v>
      </c>
    </row>
    <row r="801" spans="2:4" x14ac:dyDescent="0.3">
      <c r="B801">
        <v>783</v>
      </c>
      <c r="C801" s="80">
        <v>519.02382721708796</v>
      </c>
      <c r="D801" s="81">
        <v>0.31428765975946704</v>
      </c>
    </row>
    <row r="802" spans="2:4" x14ac:dyDescent="0.3">
      <c r="B802">
        <v>784</v>
      </c>
      <c r="C802" s="80">
        <v>503.14745614988828</v>
      </c>
      <c r="D802" s="81">
        <v>0.33896504657786108</v>
      </c>
    </row>
    <row r="803" spans="2:4" x14ac:dyDescent="0.3">
      <c r="B803">
        <v>785</v>
      </c>
      <c r="C803" s="80">
        <v>427.35950358772857</v>
      </c>
      <c r="D803" s="81">
        <v>0.2556626475921695</v>
      </c>
    </row>
    <row r="804" spans="2:4" x14ac:dyDescent="0.3">
      <c r="B804">
        <v>786</v>
      </c>
      <c r="C804" s="80">
        <v>274.87669937853036</v>
      </c>
      <c r="D804" s="81">
        <v>0.25955653836588932</v>
      </c>
    </row>
    <row r="805" spans="2:4" x14ac:dyDescent="0.3">
      <c r="B805">
        <v>787</v>
      </c>
      <c r="C805" s="80">
        <v>363.64829555584129</v>
      </c>
      <c r="D805" s="81">
        <v>0.26657603344225977</v>
      </c>
    </row>
    <row r="806" spans="2:4" x14ac:dyDescent="0.3">
      <c r="B806">
        <v>788</v>
      </c>
      <c r="C806" s="80">
        <v>218.1857440335101</v>
      </c>
      <c r="D806" s="81">
        <v>0.1879705321088414</v>
      </c>
    </row>
    <row r="807" spans="2:4" x14ac:dyDescent="0.3">
      <c r="B807">
        <v>789</v>
      </c>
      <c r="C807" s="80">
        <v>220.56825880117526</v>
      </c>
      <c r="D807" s="81">
        <v>0.21628903588496917</v>
      </c>
    </row>
    <row r="808" spans="2:4" x14ac:dyDescent="0.3">
      <c r="B808">
        <v>790</v>
      </c>
      <c r="C808" s="80">
        <v>676.44659573960644</v>
      </c>
      <c r="D808" s="81">
        <v>0.36972865464387605</v>
      </c>
    </row>
    <row r="809" spans="2:4" x14ac:dyDescent="0.3">
      <c r="B809">
        <v>791</v>
      </c>
      <c r="C809" s="80">
        <v>514.67788905050884</v>
      </c>
      <c r="D809" s="81">
        <v>0.3029442692026052</v>
      </c>
    </row>
    <row r="810" spans="2:4" x14ac:dyDescent="0.3">
      <c r="B810">
        <v>792</v>
      </c>
      <c r="C810" s="80">
        <v>203.4468091954119</v>
      </c>
      <c r="D810" s="81">
        <v>0.20903552992750285</v>
      </c>
    </row>
    <row r="811" spans="2:4" x14ac:dyDescent="0.3">
      <c r="B811">
        <v>793</v>
      </c>
      <c r="C811" s="80">
        <v>514.09951601799821</v>
      </c>
      <c r="D811" s="81">
        <v>0.32092442243994812</v>
      </c>
    </row>
    <row r="812" spans="2:4" x14ac:dyDescent="0.3">
      <c r="B812">
        <v>794</v>
      </c>
      <c r="C812" s="80">
        <v>636.36710795253566</v>
      </c>
      <c r="D812" s="81">
        <v>0.4148960837424831</v>
      </c>
    </row>
    <row r="813" spans="2:4" x14ac:dyDescent="0.3">
      <c r="B813">
        <v>795</v>
      </c>
      <c r="C813" s="80">
        <v>447.61364381398596</v>
      </c>
      <c r="D813" s="81">
        <v>0.27992845340388972</v>
      </c>
    </row>
    <row r="814" spans="2:4" x14ac:dyDescent="0.3">
      <c r="B814">
        <v>796</v>
      </c>
      <c r="C814" s="80">
        <v>428.22524466971765</v>
      </c>
      <c r="D814" s="81">
        <v>0.27941537440316222</v>
      </c>
    </row>
    <row r="815" spans="2:4" x14ac:dyDescent="0.3">
      <c r="B815">
        <v>797</v>
      </c>
      <c r="C815" s="80">
        <v>478.9446887577019</v>
      </c>
      <c r="D815" s="81">
        <v>0.27812615739960322</v>
      </c>
    </row>
    <row r="816" spans="2:4" x14ac:dyDescent="0.3">
      <c r="B816">
        <v>798</v>
      </c>
      <c r="C816" s="80">
        <v>550.80301043428403</v>
      </c>
      <c r="D816" s="81">
        <v>0.34933832879716897</v>
      </c>
    </row>
    <row r="817" spans="2:4" x14ac:dyDescent="0.3">
      <c r="B817">
        <v>799</v>
      </c>
      <c r="C817" s="80">
        <v>500.21131648306391</v>
      </c>
      <c r="D817" s="81">
        <v>0.30966176097648157</v>
      </c>
    </row>
    <row r="818" spans="2:4" x14ac:dyDescent="0.3">
      <c r="B818">
        <v>800</v>
      </c>
      <c r="C818" s="80">
        <v>634.46037368414204</v>
      </c>
      <c r="D818" s="81">
        <v>0.34928072983725666</v>
      </c>
    </row>
    <row r="819" spans="2:4" x14ac:dyDescent="0.3">
      <c r="B819">
        <v>801</v>
      </c>
      <c r="C819" s="80">
        <v>749.80002480515918</v>
      </c>
      <c r="D819" s="81">
        <v>0.41827751144939174</v>
      </c>
    </row>
    <row r="820" spans="2:4" x14ac:dyDescent="0.3">
      <c r="B820">
        <v>802</v>
      </c>
      <c r="C820" s="80">
        <v>276.62708119347496</v>
      </c>
      <c r="D820" s="81">
        <v>0.22150931905549864</v>
      </c>
    </row>
    <row r="821" spans="2:4" x14ac:dyDescent="0.3">
      <c r="B821">
        <v>803</v>
      </c>
      <c r="C821" s="80">
        <v>699.9815622432634</v>
      </c>
      <c r="D821" s="81">
        <v>0.37778158014159113</v>
      </c>
    </row>
    <row r="822" spans="2:4" x14ac:dyDescent="0.3">
      <c r="B822">
        <v>804</v>
      </c>
      <c r="C822" s="80">
        <v>714.04207854628316</v>
      </c>
      <c r="D822" s="81">
        <v>0.3990370573453399</v>
      </c>
    </row>
    <row r="823" spans="2:4" x14ac:dyDescent="0.3">
      <c r="B823">
        <v>805</v>
      </c>
      <c r="C823" s="80">
        <v>545.39377293040457</v>
      </c>
      <c r="D823" s="81">
        <v>0.30369366886223959</v>
      </c>
    </row>
    <row r="824" spans="2:4" x14ac:dyDescent="0.3">
      <c r="B824">
        <v>806</v>
      </c>
      <c r="C824" s="80">
        <v>223.97960144953913</v>
      </c>
      <c r="D824" s="81">
        <v>0.21251003196619478</v>
      </c>
    </row>
    <row r="825" spans="2:4" x14ac:dyDescent="0.3">
      <c r="B825">
        <v>807</v>
      </c>
      <c r="C825" s="80">
        <v>94.305543823925973</v>
      </c>
      <c r="D825" s="81">
        <v>0.16299273510793677</v>
      </c>
    </row>
    <row r="826" spans="2:4" x14ac:dyDescent="0.3">
      <c r="B826">
        <v>808</v>
      </c>
      <c r="C826" s="80">
        <v>164.74069966078616</v>
      </c>
      <c r="D826" s="81">
        <v>0.17037264672617614</v>
      </c>
    </row>
    <row r="827" spans="2:4" x14ac:dyDescent="0.3">
      <c r="B827">
        <v>809</v>
      </c>
      <c r="C827" s="80">
        <v>748.27250804046162</v>
      </c>
      <c r="D827" s="81">
        <v>0.41172845671435621</v>
      </c>
    </row>
    <row r="828" spans="2:4" x14ac:dyDescent="0.3">
      <c r="B828">
        <v>810</v>
      </c>
      <c r="C828" s="80">
        <v>423.06356040616481</v>
      </c>
      <c r="D828" s="81">
        <v>0.27854863474264269</v>
      </c>
    </row>
    <row r="829" spans="2:4" x14ac:dyDescent="0.3">
      <c r="B829">
        <v>811</v>
      </c>
      <c r="C829" s="80">
        <v>508.34122662811251</v>
      </c>
      <c r="D829" s="81">
        <v>0.32689280854694602</v>
      </c>
    </row>
    <row r="830" spans="2:4" x14ac:dyDescent="0.3">
      <c r="B830">
        <v>812</v>
      </c>
      <c r="C830" s="80">
        <v>220.58658923361395</v>
      </c>
      <c r="D830" s="81">
        <v>0.20050889219017676</v>
      </c>
    </row>
    <row r="831" spans="2:4" x14ac:dyDescent="0.3">
      <c r="B831">
        <v>813</v>
      </c>
      <c r="C831" s="80">
        <v>200.20730604394726</v>
      </c>
      <c r="D831" s="81">
        <v>0.18653875899543904</v>
      </c>
    </row>
    <row r="832" spans="2:4" x14ac:dyDescent="0.3">
      <c r="B832">
        <v>814</v>
      </c>
      <c r="C832" s="80">
        <v>275.19740630786828</v>
      </c>
      <c r="D832" s="81">
        <v>0.28400267272255064</v>
      </c>
    </row>
    <row r="833" spans="2:4" x14ac:dyDescent="0.3">
      <c r="B833">
        <v>815</v>
      </c>
      <c r="C833" s="80">
        <v>307.51671389945409</v>
      </c>
      <c r="D833" s="81">
        <v>0.21511715322867064</v>
      </c>
    </row>
    <row r="834" spans="2:4" x14ac:dyDescent="0.3">
      <c r="B834">
        <v>816</v>
      </c>
      <c r="C834" s="80">
        <v>322.8557688115983</v>
      </c>
      <c r="D834" s="81">
        <v>0.24985800131087554</v>
      </c>
    </row>
    <row r="835" spans="2:4" x14ac:dyDescent="0.3">
      <c r="B835">
        <v>817</v>
      </c>
      <c r="C835" s="80">
        <v>283.08664363797732</v>
      </c>
      <c r="D835" s="81">
        <v>0.24281555938149757</v>
      </c>
    </row>
    <row r="836" spans="2:4" x14ac:dyDescent="0.3">
      <c r="B836">
        <v>818</v>
      </c>
      <c r="C836" s="80">
        <v>623.98896882475287</v>
      </c>
      <c r="D836" s="81">
        <v>0.38005922107032375</v>
      </c>
    </row>
    <row r="837" spans="2:4" x14ac:dyDescent="0.3">
      <c r="B837">
        <v>819</v>
      </c>
      <c r="C837" s="80">
        <v>249.67620751015272</v>
      </c>
      <c r="D837" s="81">
        <v>0.2068678836969402</v>
      </c>
    </row>
    <row r="838" spans="2:4" x14ac:dyDescent="0.3">
      <c r="B838">
        <v>820</v>
      </c>
      <c r="C838" s="80">
        <v>494.17595648136989</v>
      </c>
      <c r="D838" s="81">
        <v>0.3395813139706616</v>
      </c>
    </row>
    <row r="839" spans="2:4" x14ac:dyDescent="0.3">
      <c r="B839">
        <v>821</v>
      </c>
      <c r="C839" s="80">
        <v>441.88416396856678</v>
      </c>
      <c r="D839" s="81">
        <v>0.27984338494710337</v>
      </c>
    </row>
    <row r="840" spans="2:4" x14ac:dyDescent="0.3">
      <c r="B840">
        <v>822</v>
      </c>
      <c r="C840" s="80">
        <v>144.77102619953143</v>
      </c>
      <c r="D840" s="81">
        <v>0.1697420712473936</v>
      </c>
    </row>
    <row r="841" spans="2:4" x14ac:dyDescent="0.3">
      <c r="B841">
        <v>823</v>
      </c>
      <c r="C841" s="80">
        <v>216.14739949677278</v>
      </c>
      <c r="D841" s="81">
        <v>0.20609907073229272</v>
      </c>
    </row>
    <row r="842" spans="2:4" x14ac:dyDescent="0.3">
      <c r="B842">
        <v>824</v>
      </c>
      <c r="C842" s="80">
        <v>658.38148258382762</v>
      </c>
      <c r="D842" s="81">
        <v>0.34390875874743321</v>
      </c>
    </row>
    <row r="843" spans="2:4" x14ac:dyDescent="0.3">
      <c r="B843">
        <v>825</v>
      </c>
      <c r="C843" s="80">
        <v>385.31510494110341</v>
      </c>
      <c r="D843" s="81">
        <v>0.25760867372929819</v>
      </c>
    </row>
    <row r="844" spans="2:4" x14ac:dyDescent="0.3">
      <c r="B844">
        <v>826</v>
      </c>
      <c r="C844" s="80">
        <v>499.44728796437198</v>
      </c>
      <c r="D844" s="81">
        <v>0.30478457290758865</v>
      </c>
    </row>
    <row r="845" spans="2:4" x14ac:dyDescent="0.3">
      <c r="B845">
        <v>827</v>
      </c>
      <c r="C845" s="80">
        <v>574.34851649326447</v>
      </c>
      <c r="D845" s="81">
        <v>0.31571147556711709</v>
      </c>
    </row>
    <row r="846" spans="2:4" x14ac:dyDescent="0.3">
      <c r="B846">
        <v>828</v>
      </c>
      <c r="C846" s="80">
        <v>322.39651838396549</v>
      </c>
      <c r="D846" s="81">
        <v>0.27415187449645462</v>
      </c>
    </row>
    <row r="847" spans="2:4" x14ac:dyDescent="0.3">
      <c r="B847">
        <v>829</v>
      </c>
      <c r="C847" s="80">
        <v>623.02112556656675</v>
      </c>
      <c r="D847" s="81">
        <v>0.36277932114178246</v>
      </c>
    </row>
    <row r="848" spans="2:4" x14ac:dyDescent="0.3">
      <c r="B848">
        <v>830</v>
      </c>
      <c r="C848" s="80">
        <v>380.47550551270592</v>
      </c>
      <c r="D848" s="81">
        <v>0.28483169952626386</v>
      </c>
    </row>
    <row r="849" spans="2:4" x14ac:dyDescent="0.3">
      <c r="B849">
        <v>831</v>
      </c>
      <c r="C849" s="80">
        <v>335.67249061901396</v>
      </c>
      <c r="D849" s="81">
        <v>0.24897385171612396</v>
      </c>
    </row>
    <row r="850" spans="2:4" x14ac:dyDescent="0.3">
      <c r="B850">
        <v>832</v>
      </c>
      <c r="C850" s="80">
        <v>296.89392179935112</v>
      </c>
      <c r="D850" s="81">
        <v>0.25422644594391652</v>
      </c>
    </row>
    <row r="851" spans="2:4" x14ac:dyDescent="0.3">
      <c r="B851">
        <v>833</v>
      </c>
      <c r="C851" s="80">
        <v>447.78044134869549</v>
      </c>
      <c r="D851" s="81">
        <v>0.2963319906897377</v>
      </c>
    </row>
    <row r="852" spans="2:4" x14ac:dyDescent="0.3">
      <c r="B852">
        <v>834</v>
      </c>
      <c r="C852" s="80">
        <v>243.75039979842973</v>
      </c>
      <c r="D852" s="81">
        <v>0.22833269172851578</v>
      </c>
    </row>
    <row r="853" spans="2:4" x14ac:dyDescent="0.3">
      <c r="B853">
        <v>835</v>
      </c>
      <c r="C853" s="80">
        <v>509.23044631082871</v>
      </c>
      <c r="D853" s="81">
        <v>0.28716537737178061</v>
      </c>
    </row>
    <row r="854" spans="2:4" x14ac:dyDescent="0.3">
      <c r="B854">
        <v>836</v>
      </c>
      <c r="C854" s="80">
        <v>736.13406463330125</v>
      </c>
      <c r="D854" s="81">
        <v>0.36469480456410341</v>
      </c>
    </row>
    <row r="855" spans="2:4" x14ac:dyDescent="0.3">
      <c r="B855">
        <v>837</v>
      </c>
      <c r="C855" s="80">
        <v>506.03292472460521</v>
      </c>
      <c r="D855" s="81">
        <v>0.32082941956716859</v>
      </c>
    </row>
    <row r="856" spans="2:4" x14ac:dyDescent="0.3">
      <c r="B856">
        <v>838</v>
      </c>
      <c r="C856" s="80">
        <v>374.31702470829043</v>
      </c>
      <c r="D856" s="81">
        <v>0.2912884464374863</v>
      </c>
    </row>
    <row r="857" spans="2:4" x14ac:dyDescent="0.3">
      <c r="B857">
        <v>839</v>
      </c>
      <c r="C857" s="80">
        <v>236.65035966737571</v>
      </c>
      <c r="D857" s="81">
        <v>0.2183368971301034</v>
      </c>
    </row>
    <row r="858" spans="2:4" x14ac:dyDescent="0.3">
      <c r="B858">
        <v>840</v>
      </c>
      <c r="C858" s="80">
        <v>78.446639844201968</v>
      </c>
      <c r="D858" s="81">
        <v>0.13999688125006848</v>
      </c>
    </row>
    <row r="859" spans="2:4" x14ac:dyDescent="0.3">
      <c r="B859">
        <v>841</v>
      </c>
      <c r="C859" s="80">
        <v>540.8940598911347</v>
      </c>
      <c r="D859" s="81">
        <v>0.35541468024394618</v>
      </c>
    </row>
    <row r="860" spans="2:4" x14ac:dyDescent="0.3">
      <c r="B860">
        <v>842</v>
      </c>
      <c r="C860" s="80">
        <v>215.90718805777317</v>
      </c>
      <c r="D860" s="81">
        <v>0.19872874027735943</v>
      </c>
    </row>
    <row r="861" spans="2:4" x14ac:dyDescent="0.3">
      <c r="B861">
        <v>843</v>
      </c>
      <c r="C861" s="80">
        <v>552.67399881275401</v>
      </c>
      <c r="D861" s="81">
        <v>0.31197700050198263</v>
      </c>
    </row>
    <row r="862" spans="2:4" x14ac:dyDescent="0.3">
      <c r="B862">
        <v>844</v>
      </c>
      <c r="C862" s="80">
        <v>51.849831268510457</v>
      </c>
      <c r="D862" s="81">
        <v>0.13135071646270458</v>
      </c>
    </row>
    <row r="863" spans="2:4" x14ac:dyDescent="0.3">
      <c r="B863">
        <v>845</v>
      </c>
      <c r="C863" s="80">
        <v>548.2038045754407</v>
      </c>
      <c r="D863" s="81">
        <v>0.33523451474834731</v>
      </c>
    </row>
    <row r="864" spans="2:4" x14ac:dyDescent="0.3">
      <c r="B864">
        <v>846</v>
      </c>
      <c r="C864" s="80">
        <v>530.88665305821655</v>
      </c>
      <c r="D864" s="81">
        <v>0.3049556693663078</v>
      </c>
    </row>
    <row r="865" spans="2:4" x14ac:dyDescent="0.3">
      <c r="B865">
        <v>847</v>
      </c>
      <c r="C865" s="80">
        <v>500.02893957587139</v>
      </c>
      <c r="D865" s="81">
        <v>0.3136646033748749</v>
      </c>
    </row>
    <row r="866" spans="2:4" x14ac:dyDescent="0.3">
      <c r="B866">
        <v>848</v>
      </c>
      <c r="C866" s="80">
        <v>660.59393065894983</v>
      </c>
      <c r="D866" s="81">
        <v>0.39044430440310962</v>
      </c>
    </row>
    <row r="867" spans="2:4" x14ac:dyDescent="0.3">
      <c r="B867">
        <v>849</v>
      </c>
      <c r="C867" s="80">
        <v>382.76861552150729</v>
      </c>
      <c r="D867" s="81">
        <v>0.2739487482151397</v>
      </c>
    </row>
    <row r="868" spans="2:4" x14ac:dyDescent="0.3">
      <c r="B868">
        <v>850</v>
      </c>
      <c r="C868" s="80">
        <v>157.91461482736349</v>
      </c>
      <c r="D868" s="81">
        <v>0.18294123377209459</v>
      </c>
    </row>
    <row r="869" spans="2:4" x14ac:dyDescent="0.3">
      <c r="B869">
        <v>851</v>
      </c>
      <c r="C869" s="80">
        <v>666.31831627943075</v>
      </c>
      <c r="D869" s="81">
        <v>0.3523470038178389</v>
      </c>
    </row>
    <row r="870" spans="2:4" x14ac:dyDescent="0.3">
      <c r="B870">
        <v>852</v>
      </c>
      <c r="C870" s="80">
        <v>310.34328810780926</v>
      </c>
      <c r="D870" s="81">
        <v>0.19889788222964233</v>
      </c>
    </row>
    <row r="871" spans="2:4" x14ac:dyDescent="0.3">
      <c r="B871">
        <v>853</v>
      </c>
      <c r="C871" s="80">
        <v>691.4587308902444</v>
      </c>
      <c r="D871" s="81">
        <v>0.3778688600531166</v>
      </c>
    </row>
    <row r="872" spans="2:4" x14ac:dyDescent="0.3">
      <c r="B872">
        <v>854</v>
      </c>
      <c r="C872" s="80">
        <v>188.44695177349047</v>
      </c>
      <c r="D872" s="81">
        <v>0.19823630350372845</v>
      </c>
    </row>
    <row r="873" spans="2:4" x14ac:dyDescent="0.3">
      <c r="B873">
        <v>855</v>
      </c>
      <c r="C873" s="80">
        <v>194.79220727524466</v>
      </c>
      <c r="D873" s="81">
        <v>0.1885527128253861</v>
      </c>
    </row>
    <row r="874" spans="2:4" x14ac:dyDescent="0.3">
      <c r="B874">
        <v>856</v>
      </c>
      <c r="C874" s="80">
        <v>397.02159343381334</v>
      </c>
      <c r="D874" s="81">
        <v>0.28000011751499221</v>
      </c>
    </row>
    <row r="875" spans="2:4" x14ac:dyDescent="0.3">
      <c r="B875">
        <v>857</v>
      </c>
      <c r="C875" s="80">
        <v>370.18512327945291</v>
      </c>
      <c r="D875" s="81">
        <v>0.31039949328588001</v>
      </c>
    </row>
    <row r="876" spans="2:4" x14ac:dyDescent="0.3">
      <c r="B876">
        <v>858</v>
      </c>
      <c r="C876" s="80">
        <v>255.87187904606571</v>
      </c>
      <c r="D876" s="81">
        <v>0.21765961147547919</v>
      </c>
    </row>
    <row r="877" spans="2:4" x14ac:dyDescent="0.3">
      <c r="B877">
        <v>859</v>
      </c>
      <c r="C877" s="80">
        <v>464.70467876982821</v>
      </c>
      <c r="D877" s="81">
        <v>0.28514466521584203</v>
      </c>
    </row>
    <row r="878" spans="2:4" x14ac:dyDescent="0.3">
      <c r="B878">
        <v>860</v>
      </c>
      <c r="C878" s="80">
        <v>392.22982409001065</v>
      </c>
      <c r="D878" s="81">
        <v>0.28696601752518802</v>
      </c>
    </row>
    <row r="879" spans="2:4" x14ac:dyDescent="0.3">
      <c r="B879">
        <v>861</v>
      </c>
      <c r="C879" s="80">
        <v>779.25346465871576</v>
      </c>
      <c r="D879" s="81">
        <v>0.4176509235406789</v>
      </c>
    </row>
    <row r="880" spans="2:4" x14ac:dyDescent="0.3">
      <c r="B880">
        <v>862</v>
      </c>
      <c r="C880" s="80">
        <v>586.31348523530733</v>
      </c>
      <c r="D880" s="81">
        <v>0.32265639261570489</v>
      </c>
    </row>
    <row r="881" spans="2:4" x14ac:dyDescent="0.3">
      <c r="B881">
        <v>863</v>
      </c>
      <c r="C881" s="80">
        <v>241.80274787859071</v>
      </c>
      <c r="D881" s="81">
        <v>0.1918318329755897</v>
      </c>
    </row>
    <row r="882" spans="2:4" x14ac:dyDescent="0.3">
      <c r="B882">
        <v>864</v>
      </c>
      <c r="C882" s="80">
        <v>524.04090650923263</v>
      </c>
      <c r="D882" s="81">
        <v>0.36330281498494177</v>
      </c>
    </row>
    <row r="883" spans="2:4" x14ac:dyDescent="0.3">
      <c r="B883">
        <v>865</v>
      </c>
      <c r="C883" s="80">
        <v>372.02946329078952</v>
      </c>
      <c r="D883" s="81">
        <v>0.24981619131679533</v>
      </c>
    </row>
    <row r="884" spans="2:4" x14ac:dyDescent="0.3">
      <c r="B884">
        <v>866</v>
      </c>
      <c r="C884" s="80">
        <v>463.22398361364094</v>
      </c>
      <c r="D884" s="81">
        <v>0.27992029513702787</v>
      </c>
    </row>
    <row r="885" spans="2:4" x14ac:dyDescent="0.3">
      <c r="B885">
        <v>867</v>
      </c>
      <c r="C885" s="80">
        <v>452.8290243726824</v>
      </c>
      <c r="D885" s="81">
        <v>0.28693314491731203</v>
      </c>
    </row>
    <row r="886" spans="2:4" x14ac:dyDescent="0.3">
      <c r="B886">
        <v>868</v>
      </c>
      <c r="C886" s="80">
        <v>395.68991219928444</v>
      </c>
      <c r="D886" s="81">
        <v>0.25707251914840157</v>
      </c>
    </row>
    <row r="887" spans="2:4" x14ac:dyDescent="0.3">
      <c r="B887">
        <v>869</v>
      </c>
      <c r="C887" s="80">
        <v>68.83580131399674</v>
      </c>
      <c r="D887" s="81">
        <v>0.15803338894909524</v>
      </c>
    </row>
    <row r="888" spans="2:4" x14ac:dyDescent="0.3">
      <c r="B888">
        <v>870</v>
      </c>
      <c r="C888" s="80">
        <v>270.01728533032008</v>
      </c>
      <c r="D888" s="81">
        <v>0.26836289726706286</v>
      </c>
    </row>
    <row r="889" spans="2:4" x14ac:dyDescent="0.3">
      <c r="B889">
        <v>871</v>
      </c>
      <c r="C889" s="80">
        <v>353.70342265685929</v>
      </c>
      <c r="D889" s="81">
        <v>0.24843291607217477</v>
      </c>
    </row>
    <row r="890" spans="2:4" x14ac:dyDescent="0.3">
      <c r="B890">
        <v>872</v>
      </c>
      <c r="C890" s="80">
        <v>219.99079051655599</v>
      </c>
      <c r="D890" s="81">
        <v>0.1906709376188005</v>
      </c>
    </row>
    <row r="891" spans="2:4" x14ac:dyDescent="0.3">
      <c r="B891">
        <v>873</v>
      </c>
      <c r="C891" s="80">
        <v>404.66029695921247</v>
      </c>
      <c r="D891" s="81">
        <v>0.31917439684102633</v>
      </c>
    </row>
    <row r="892" spans="2:4" x14ac:dyDescent="0.3">
      <c r="B892">
        <v>874</v>
      </c>
      <c r="C892" s="80">
        <v>174.94815331516725</v>
      </c>
      <c r="D892" s="81">
        <v>0.17867662617100954</v>
      </c>
    </row>
    <row r="893" spans="2:4" x14ac:dyDescent="0.3">
      <c r="B893">
        <v>875</v>
      </c>
      <c r="C893" s="80">
        <v>289.64350644361627</v>
      </c>
      <c r="D893" s="81">
        <v>0.20967635977125054</v>
      </c>
    </row>
    <row r="894" spans="2:4" x14ac:dyDescent="0.3">
      <c r="B894">
        <v>876</v>
      </c>
      <c r="C894" s="80">
        <v>769.45935987237908</v>
      </c>
      <c r="D894" s="81">
        <v>0.42802203164256225</v>
      </c>
    </row>
    <row r="895" spans="2:4" x14ac:dyDescent="0.3">
      <c r="B895">
        <v>877</v>
      </c>
      <c r="C895" s="80">
        <v>510.71295170537678</v>
      </c>
      <c r="D895" s="81">
        <v>0.33418831800194959</v>
      </c>
    </row>
    <row r="896" spans="2:4" x14ac:dyDescent="0.3">
      <c r="B896">
        <v>878</v>
      </c>
      <c r="C896" s="80">
        <v>621.03261216227952</v>
      </c>
      <c r="D896" s="81">
        <v>0.384905450811037</v>
      </c>
    </row>
    <row r="897" spans="2:4" x14ac:dyDescent="0.3">
      <c r="B897">
        <v>879</v>
      </c>
      <c r="C897" s="80">
        <v>315.10672509894789</v>
      </c>
      <c r="D897" s="81">
        <v>0.23666215344107999</v>
      </c>
    </row>
    <row r="898" spans="2:4" x14ac:dyDescent="0.3">
      <c r="B898">
        <v>880</v>
      </c>
      <c r="C898" s="80">
        <v>256.47256273862195</v>
      </c>
      <c r="D898" s="81">
        <v>0.23476161820460195</v>
      </c>
    </row>
    <row r="899" spans="2:4" x14ac:dyDescent="0.3">
      <c r="B899">
        <v>881</v>
      </c>
      <c r="C899" s="80">
        <v>525.0386876759294</v>
      </c>
      <c r="D899" s="81">
        <v>0.3850623958970063</v>
      </c>
    </row>
    <row r="900" spans="2:4" x14ac:dyDescent="0.3">
      <c r="B900">
        <v>882</v>
      </c>
      <c r="C900" s="80">
        <v>130.14412792342353</v>
      </c>
      <c r="D900" s="81">
        <v>0.16811111575962001</v>
      </c>
    </row>
    <row r="901" spans="2:4" x14ac:dyDescent="0.3">
      <c r="B901">
        <v>883</v>
      </c>
      <c r="C901" s="80">
        <v>480.78944210793134</v>
      </c>
      <c r="D901" s="81">
        <v>0.27048334896669668</v>
      </c>
    </row>
    <row r="902" spans="2:4" x14ac:dyDescent="0.3">
      <c r="B902">
        <v>884</v>
      </c>
      <c r="C902" s="80">
        <v>477.32468590711824</v>
      </c>
      <c r="D902" s="81">
        <v>0.32024598602010967</v>
      </c>
    </row>
    <row r="903" spans="2:4" x14ac:dyDescent="0.3">
      <c r="B903">
        <v>885</v>
      </c>
      <c r="C903" s="80">
        <v>219.78133262828339</v>
      </c>
      <c r="D903" s="81">
        <v>0.22627296266972374</v>
      </c>
    </row>
    <row r="904" spans="2:4" x14ac:dyDescent="0.3">
      <c r="B904">
        <v>886</v>
      </c>
      <c r="C904" s="80">
        <v>294.25415550495029</v>
      </c>
      <c r="D904" s="81">
        <v>0.24908612204812197</v>
      </c>
    </row>
    <row r="905" spans="2:4" x14ac:dyDescent="0.3">
      <c r="B905">
        <v>887</v>
      </c>
      <c r="C905" s="80">
        <v>390.69352730277308</v>
      </c>
      <c r="D905" s="81">
        <v>0.30394410368682134</v>
      </c>
    </row>
    <row r="906" spans="2:4" x14ac:dyDescent="0.3">
      <c r="B906">
        <v>888</v>
      </c>
      <c r="C906" s="80">
        <v>457.74078206041304</v>
      </c>
      <c r="D906" s="81">
        <v>0.28840574243313077</v>
      </c>
    </row>
    <row r="907" spans="2:4" x14ac:dyDescent="0.3">
      <c r="B907">
        <v>889</v>
      </c>
      <c r="C907" s="80">
        <v>250.67926770981455</v>
      </c>
      <c r="D907" s="81">
        <v>0.24555590797750115</v>
      </c>
    </row>
    <row r="908" spans="2:4" x14ac:dyDescent="0.3">
      <c r="B908">
        <v>890</v>
      </c>
      <c r="C908" s="80">
        <v>349.77086054910728</v>
      </c>
      <c r="D908" s="81">
        <v>0.2844425680263245</v>
      </c>
    </row>
    <row r="909" spans="2:4" x14ac:dyDescent="0.3">
      <c r="B909">
        <v>891</v>
      </c>
      <c r="C909" s="80">
        <v>311.14229170647639</v>
      </c>
      <c r="D909" s="81">
        <v>0.24848552675997704</v>
      </c>
    </row>
    <row r="910" spans="2:4" x14ac:dyDescent="0.3">
      <c r="B910">
        <v>892</v>
      </c>
      <c r="C910" s="80">
        <v>522.68937868714352</v>
      </c>
      <c r="D910" s="81">
        <v>0.32487285215620942</v>
      </c>
    </row>
    <row r="911" spans="2:4" x14ac:dyDescent="0.3">
      <c r="B911">
        <v>893</v>
      </c>
      <c r="C911" s="80">
        <v>603.37068186022839</v>
      </c>
      <c r="D911" s="81">
        <v>0.40690265400913939</v>
      </c>
    </row>
    <row r="912" spans="2:4" x14ac:dyDescent="0.3">
      <c r="B912">
        <v>894</v>
      </c>
      <c r="C912" s="80">
        <v>511.34512844737105</v>
      </c>
      <c r="D912" s="81">
        <v>0.31104046775394956</v>
      </c>
    </row>
    <row r="913" spans="2:4" x14ac:dyDescent="0.3">
      <c r="B913">
        <v>895</v>
      </c>
      <c r="C913" s="80">
        <v>363.55986620233784</v>
      </c>
      <c r="D913" s="81">
        <v>0.24968512215661542</v>
      </c>
    </row>
    <row r="914" spans="2:4" x14ac:dyDescent="0.3">
      <c r="B914">
        <v>896</v>
      </c>
      <c r="C914" s="80">
        <v>482.16569895964221</v>
      </c>
      <c r="D914" s="81">
        <v>0.30992678947533725</v>
      </c>
    </row>
    <row r="915" spans="2:4" x14ac:dyDescent="0.3">
      <c r="B915">
        <v>897</v>
      </c>
      <c r="C915" s="80">
        <v>211.64229739212658</v>
      </c>
      <c r="D915" s="81">
        <v>0.20448709333975135</v>
      </c>
    </row>
    <row r="916" spans="2:4" x14ac:dyDescent="0.3">
      <c r="B916">
        <v>898</v>
      </c>
      <c r="C916" s="80">
        <v>441.87195569903849</v>
      </c>
      <c r="D916" s="81">
        <v>0.28771063156498067</v>
      </c>
    </row>
    <row r="917" spans="2:4" x14ac:dyDescent="0.3">
      <c r="B917">
        <v>899</v>
      </c>
      <c r="C917" s="80">
        <v>815.54911547433903</v>
      </c>
      <c r="D917" s="81">
        <v>0.50983416819949867</v>
      </c>
    </row>
    <row r="918" spans="2:4" x14ac:dyDescent="0.3">
      <c r="B918">
        <v>900</v>
      </c>
      <c r="C918" s="80">
        <v>311.48649587823456</v>
      </c>
      <c r="D918" s="81">
        <v>0.2260843132035375</v>
      </c>
    </row>
    <row r="919" spans="2:4" x14ac:dyDescent="0.3">
      <c r="B919">
        <v>901</v>
      </c>
      <c r="C919" s="80">
        <v>554.93603475168584</v>
      </c>
      <c r="D919" s="81">
        <v>0.31015096320891811</v>
      </c>
    </row>
    <row r="920" spans="2:4" x14ac:dyDescent="0.3">
      <c r="B920">
        <v>902</v>
      </c>
      <c r="C920" s="80">
        <v>340.82219593036962</v>
      </c>
      <c r="D920" s="81">
        <v>0.27752819744270396</v>
      </c>
    </row>
    <row r="921" spans="2:4" x14ac:dyDescent="0.3">
      <c r="B921">
        <v>903</v>
      </c>
      <c r="C921" s="80">
        <v>494.54578305089603</v>
      </c>
      <c r="D921" s="81">
        <v>0.3217976973894463</v>
      </c>
    </row>
    <row r="922" spans="2:4" x14ac:dyDescent="0.3">
      <c r="B922">
        <v>904</v>
      </c>
      <c r="C922" s="80">
        <v>703.12954726508337</v>
      </c>
      <c r="D922" s="81">
        <v>0.36900716338588735</v>
      </c>
    </row>
    <row r="923" spans="2:4" x14ac:dyDescent="0.3">
      <c r="B923">
        <v>905</v>
      </c>
      <c r="C923" s="80">
        <v>133.78455043898407</v>
      </c>
      <c r="D923" s="81">
        <v>0.16567738773347362</v>
      </c>
    </row>
    <row r="924" spans="2:4" x14ac:dyDescent="0.3">
      <c r="B924">
        <v>906</v>
      </c>
      <c r="C924" s="80">
        <v>766.65063319446858</v>
      </c>
      <c r="D924" s="81">
        <v>0.45641391216848537</v>
      </c>
    </row>
    <row r="925" spans="2:4" x14ac:dyDescent="0.3">
      <c r="B925">
        <v>907</v>
      </c>
      <c r="C925" s="80">
        <v>527.69607123856235</v>
      </c>
      <c r="D925" s="81">
        <v>0.34703996020452044</v>
      </c>
    </row>
    <row r="926" spans="2:4" x14ac:dyDescent="0.3">
      <c r="B926">
        <v>908</v>
      </c>
      <c r="C926" s="80">
        <v>456.65138534034281</v>
      </c>
      <c r="D926" s="81">
        <v>0.27565583822473783</v>
      </c>
    </row>
    <row r="927" spans="2:4" x14ac:dyDescent="0.3">
      <c r="B927">
        <v>909</v>
      </c>
      <c r="C927" s="80">
        <v>-10.939444005318023</v>
      </c>
      <c r="D927" s="81">
        <v>0.10900506462698423</v>
      </c>
    </row>
    <row r="928" spans="2:4" x14ac:dyDescent="0.3">
      <c r="B928">
        <v>910</v>
      </c>
      <c r="C928" s="80">
        <v>360.55466188597723</v>
      </c>
      <c r="D928" s="81">
        <v>0.3203883969970942</v>
      </c>
    </row>
    <row r="929" spans="2:4" x14ac:dyDescent="0.3">
      <c r="B929">
        <v>911</v>
      </c>
      <c r="C929" s="80">
        <v>378.64877042045214</v>
      </c>
      <c r="D929" s="81">
        <v>0.26452496520085944</v>
      </c>
    </row>
    <row r="930" spans="2:4" x14ac:dyDescent="0.3">
      <c r="B930">
        <v>912</v>
      </c>
      <c r="C930" s="80">
        <v>490.88526094966619</v>
      </c>
      <c r="D930" s="81">
        <v>0.30942103403837651</v>
      </c>
    </row>
    <row r="931" spans="2:4" x14ac:dyDescent="0.3">
      <c r="B931">
        <v>913</v>
      </c>
      <c r="C931" s="80">
        <v>635.60604811444477</v>
      </c>
      <c r="D931" s="81">
        <v>0.37357339636889164</v>
      </c>
    </row>
    <row r="932" spans="2:4" x14ac:dyDescent="0.3">
      <c r="B932">
        <v>914</v>
      </c>
      <c r="C932" s="80">
        <v>572.18476132562887</v>
      </c>
      <c r="D932" s="81">
        <v>0.29973062641969062</v>
      </c>
    </row>
    <row r="933" spans="2:4" x14ac:dyDescent="0.3">
      <c r="B933">
        <v>915</v>
      </c>
      <c r="C933" s="80">
        <v>722.09387591135101</v>
      </c>
      <c r="D933" s="81">
        <v>0.39477423003552525</v>
      </c>
    </row>
    <row r="934" spans="2:4" x14ac:dyDescent="0.3">
      <c r="B934">
        <v>916</v>
      </c>
      <c r="C934" s="80">
        <v>370.66782609164341</v>
      </c>
      <c r="D934" s="81">
        <v>0.25773739508796267</v>
      </c>
    </row>
    <row r="935" spans="2:4" x14ac:dyDescent="0.3">
      <c r="B935">
        <v>917</v>
      </c>
      <c r="C935" s="80">
        <v>430.0014039919289</v>
      </c>
      <c r="D935" s="81">
        <v>0.30008708146334429</v>
      </c>
    </row>
    <row r="936" spans="2:4" x14ac:dyDescent="0.3">
      <c r="B936">
        <v>918</v>
      </c>
      <c r="C936" s="80">
        <v>383.69422935543764</v>
      </c>
      <c r="D936" s="81">
        <v>0.30319094091753795</v>
      </c>
    </row>
    <row r="937" spans="2:4" x14ac:dyDescent="0.3">
      <c r="B937">
        <v>919</v>
      </c>
      <c r="C937" s="80">
        <v>421.18174564651508</v>
      </c>
      <c r="D937" s="81">
        <v>0.25636900368933757</v>
      </c>
    </row>
    <row r="938" spans="2:4" x14ac:dyDescent="0.3">
      <c r="B938">
        <v>920</v>
      </c>
      <c r="C938" s="80">
        <v>395.81041798430874</v>
      </c>
      <c r="D938" s="81">
        <v>0.25234255921158</v>
      </c>
    </row>
    <row r="939" spans="2:4" x14ac:dyDescent="0.3">
      <c r="B939">
        <v>921</v>
      </c>
      <c r="C939" s="80">
        <v>743.93857641141926</v>
      </c>
      <c r="D939" s="81">
        <v>0.3778743120545105</v>
      </c>
    </row>
    <row r="940" spans="2:4" x14ac:dyDescent="0.3">
      <c r="B940">
        <v>922</v>
      </c>
      <c r="C940" s="80">
        <v>890.51480312289073</v>
      </c>
      <c r="D940" s="81">
        <v>0.38424456832757903</v>
      </c>
    </row>
    <row r="941" spans="2:4" x14ac:dyDescent="0.3">
      <c r="B941">
        <v>923</v>
      </c>
      <c r="C941" s="80">
        <v>457.41080977654156</v>
      </c>
      <c r="D941" s="81">
        <v>0.2811985382725537</v>
      </c>
    </row>
    <row r="942" spans="2:4" x14ac:dyDescent="0.3">
      <c r="B942">
        <v>924</v>
      </c>
      <c r="C942" s="80">
        <v>730.19716385301444</v>
      </c>
      <c r="D942" s="81">
        <v>0.40198884824089731</v>
      </c>
    </row>
    <row r="943" spans="2:4" x14ac:dyDescent="0.3">
      <c r="B943">
        <v>925</v>
      </c>
      <c r="C943" s="80">
        <v>170.70676482431804</v>
      </c>
      <c r="D943" s="81">
        <v>0.18034132706344552</v>
      </c>
    </row>
    <row r="944" spans="2:4" x14ac:dyDescent="0.3">
      <c r="B944">
        <v>926</v>
      </c>
      <c r="C944" s="80">
        <v>214.35502110070161</v>
      </c>
      <c r="D944" s="81">
        <v>0.18918167218780302</v>
      </c>
    </row>
    <row r="945" spans="2:4" x14ac:dyDescent="0.3">
      <c r="B945">
        <v>927</v>
      </c>
      <c r="C945" s="80">
        <v>412.9102908841611</v>
      </c>
      <c r="D945" s="81">
        <v>0.25282931291513688</v>
      </c>
    </row>
    <row r="946" spans="2:4" x14ac:dyDescent="0.3">
      <c r="B946">
        <v>928</v>
      </c>
      <c r="C946" s="80">
        <v>552.9123426879612</v>
      </c>
      <c r="D946" s="81">
        <v>0.32887639319514195</v>
      </c>
    </row>
    <row r="947" spans="2:4" x14ac:dyDescent="0.3">
      <c r="B947">
        <v>929</v>
      </c>
      <c r="C947" s="80">
        <v>446.28077352792036</v>
      </c>
      <c r="D947" s="81">
        <v>0.28267342636063519</v>
      </c>
    </row>
    <row r="948" spans="2:4" x14ac:dyDescent="0.3">
      <c r="B948">
        <v>930</v>
      </c>
      <c r="C948" s="80">
        <v>203.66129532178024</v>
      </c>
      <c r="D948" s="81">
        <v>0.19646814504357302</v>
      </c>
    </row>
    <row r="949" spans="2:4" x14ac:dyDescent="0.3">
      <c r="B949">
        <v>931</v>
      </c>
      <c r="C949" s="80">
        <v>366.19914429909011</v>
      </c>
      <c r="D949" s="81">
        <v>0.26875969496434626</v>
      </c>
    </row>
    <row r="950" spans="2:4" x14ac:dyDescent="0.3">
      <c r="B950">
        <v>932</v>
      </c>
      <c r="C950" s="80">
        <v>394.62596287868587</v>
      </c>
      <c r="D950" s="81">
        <v>0.28603817536083542</v>
      </c>
    </row>
    <row r="951" spans="2:4" x14ac:dyDescent="0.3">
      <c r="B951">
        <v>933</v>
      </c>
      <c r="C951" s="80">
        <v>169.94113821158464</v>
      </c>
      <c r="D951" s="81">
        <v>0.17788933894375281</v>
      </c>
    </row>
    <row r="952" spans="2:4" x14ac:dyDescent="0.3">
      <c r="B952">
        <v>934</v>
      </c>
      <c r="C952" s="80">
        <v>675.4226073687073</v>
      </c>
      <c r="D952" s="81">
        <v>0.36569515355213245</v>
      </c>
    </row>
    <row r="953" spans="2:4" x14ac:dyDescent="0.3">
      <c r="B953">
        <v>935</v>
      </c>
      <c r="C953" s="80">
        <v>421.64385362359462</v>
      </c>
      <c r="D953" s="81">
        <v>0.28842075499634423</v>
      </c>
    </row>
    <row r="954" spans="2:4" x14ac:dyDescent="0.3">
      <c r="B954">
        <v>936</v>
      </c>
      <c r="C954" s="80">
        <v>728.03567725534617</v>
      </c>
      <c r="D954" s="81">
        <v>0.37855910495600842</v>
      </c>
    </row>
    <row r="955" spans="2:4" x14ac:dyDescent="0.3">
      <c r="B955">
        <v>937</v>
      </c>
      <c r="C955" s="80">
        <v>295.22108997753708</v>
      </c>
      <c r="D955" s="81">
        <v>0.2341381541173051</v>
      </c>
    </row>
    <row r="956" spans="2:4" x14ac:dyDescent="0.3">
      <c r="B956">
        <v>938</v>
      </c>
      <c r="C956" s="80">
        <v>488.4076939455615</v>
      </c>
      <c r="D956" s="81">
        <v>0.32012551553415558</v>
      </c>
    </row>
    <row r="957" spans="2:4" x14ac:dyDescent="0.3">
      <c r="B957">
        <v>939</v>
      </c>
      <c r="C957" s="80">
        <v>349.19899418321029</v>
      </c>
      <c r="D957" s="81">
        <v>0.28073412490407601</v>
      </c>
    </row>
    <row r="958" spans="2:4" x14ac:dyDescent="0.3">
      <c r="B958">
        <v>940</v>
      </c>
      <c r="C958" s="80">
        <v>311.9948523858726</v>
      </c>
      <c r="D958" s="81">
        <v>0.23590292384575329</v>
      </c>
    </row>
    <row r="959" spans="2:4" x14ac:dyDescent="0.3">
      <c r="B959">
        <v>941</v>
      </c>
      <c r="C959" s="80">
        <v>455.64159556833101</v>
      </c>
      <c r="D959" s="81">
        <v>0.35426380445555639</v>
      </c>
    </row>
    <row r="960" spans="2:4" x14ac:dyDescent="0.3">
      <c r="B960">
        <v>942</v>
      </c>
      <c r="C960" s="80">
        <v>536.54375830589902</v>
      </c>
      <c r="D960" s="81">
        <v>0.3433898961957087</v>
      </c>
    </row>
    <row r="961" spans="2:4" x14ac:dyDescent="0.3">
      <c r="B961">
        <v>943</v>
      </c>
      <c r="C961" s="80">
        <v>683.2779761070376</v>
      </c>
      <c r="D961" s="81">
        <v>0.35667472787354582</v>
      </c>
    </row>
    <row r="962" spans="2:4" x14ac:dyDescent="0.3">
      <c r="B962">
        <v>944</v>
      </c>
      <c r="C962" s="80">
        <v>507.33306787911033</v>
      </c>
      <c r="D962" s="81">
        <v>0.31997909091461119</v>
      </c>
    </row>
    <row r="963" spans="2:4" x14ac:dyDescent="0.3">
      <c r="B963">
        <v>945</v>
      </c>
      <c r="C963" s="80">
        <v>127.64876105921621</v>
      </c>
      <c r="D963" s="81">
        <v>0.16571735255059794</v>
      </c>
    </row>
    <row r="964" spans="2:4" x14ac:dyDescent="0.3">
      <c r="B964">
        <v>946</v>
      </c>
      <c r="C964" s="80">
        <v>428.8267156476503</v>
      </c>
      <c r="D964" s="81">
        <v>0.28027938227430305</v>
      </c>
    </row>
    <row r="965" spans="2:4" x14ac:dyDescent="0.3">
      <c r="B965">
        <v>947</v>
      </c>
      <c r="C965" s="80">
        <v>434.71132280167478</v>
      </c>
      <c r="D965" s="81">
        <v>0.25534684409263519</v>
      </c>
    </row>
    <row r="966" spans="2:4" x14ac:dyDescent="0.3">
      <c r="B966">
        <v>948</v>
      </c>
      <c r="C966" s="80">
        <v>374.09618176788535</v>
      </c>
      <c r="D966" s="81">
        <v>0.25796583840740173</v>
      </c>
    </row>
    <row r="967" spans="2:4" x14ac:dyDescent="0.3">
      <c r="B967">
        <v>949</v>
      </c>
      <c r="C967" s="80">
        <v>583.44140952200223</v>
      </c>
      <c r="D967" s="81">
        <v>0.32665996575705436</v>
      </c>
    </row>
    <row r="968" spans="2:4" x14ac:dyDescent="0.3">
      <c r="B968">
        <v>950</v>
      </c>
      <c r="C968" s="80">
        <v>718.25639055323859</v>
      </c>
      <c r="D968" s="81">
        <v>0.42830494507060557</v>
      </c>
    </row>
    <row r="969" spans="2:4" x14ac:dyDescent="0.3">
      <c r="B969">
        <v>951</v>
      </c>
      <c r="C969" s="80">
        <v>537.56695117554523</v>
      </c>
      <c r="D969" s="81">
        <v>0.3184332386645099</v>
      </c>
    </row>
    <row r="970" spans="2:4" x14ac:dyDescent="0.3">
      <c r="B970">
        <v>952</v>
      </c>
      <c r="C970" s="80">
        <v>478.52121805471756</v>
      </c>
      <c r="D970" s="81">
        <v>0.29573835039790231</v>
      </c>
    </row>
    <row r="971" spans="2:4" x14ac:dyDescent="0.3">
      <c r="B971">
        <v>953</v>
      </c>
      <c r="C971" s="80">
        <v>737.18489378527079</v>
      </c>
      <c r="D971" s="81">
        <v>0.36188745193766225</v>
      </c>
    </row>
    <row r="972" spans="2:4" x14ac:dyDescent="0.3">
      <c r="B972">
        <v>954</v>
      </c>
      <c r="C972" s="80">
        <v>657.40315249505488</v>
      </c>
      <c r="D972" s="81">
        <v>0.40824342406005232</v>
      </c>
    </row>
    <row r="973" spans="2:4" x14ac:dyDescent="0.3">
      <c r="B973">
        <v>955</v>
      </c>
      <c r="C973" s="80">
        <v>237.94068195262128</v>
      </c>
      <c r="D973" s="81">
        <v>0.20241701421063185</v>
      </c>
    </row>
    <row r="974" spans="2:4" x14ac:dyDescent="0.3">
      <c r="B974">
        <v>956</v>
      </c>
      <c r="C974" s="80">
        <v>163.40972188329738</v>
      </c>
      <c r="D974" s="81">
        <v>0.16559774460811161</v>
      </c>
    </row>
    <row r="975" spans="2:4" x14ac:dyDescent="0.3">
      <c r="B975">
        <v>957</v>
      </c>
      <c r="C975" s="80">
        <v>665.70928597190414</v>
      </c>
      <c r="D975" s="81">
        <v>0.36993008078913414</v>
      </c>
    </row>
    <row r="976" spans="2:4" x14ac:dyDescent="0.3">
      <c r="B976">
        <v>958</v>
      </c>
      <c r="C976" s="80">
        <v>475.79052917202193</v>
      </c>
      <c r="D976" s="81">
        <v>0.28707105570807245</v>
      </c>
    </row>
    <row r="977" spans="2:4" x14ac:dyDescent="0.3">
      <c r="B977">
        <v>959</v>
      </c>
      <c r="C977" s="80">
        <v>653.25647756404692</v>
      </c>
      <c r="D977" s="81">
        <v>0.40309359959525581</v>
      </c>
    </row>
    <row r="978" spans="2:4" x14ac:dyDescent="0.3">
      <c r="B978">
        <v>960</v>
      </c>
      <c r="C978" s="80">
        <v>320.397039275324</v>
      </c>
      <c r="D978" s="81">
        <v>0.23862023725395587</v>
      </c>
    </row>
    <row r="979" spans="2:4" x14ac:dyDescent="0.3">
      <c r="B979">
        <v>961</v>
      </c>
      <c r="C979" s="80">
        <v>405.68189806197779</v>
      </c>
      <c r="D979" s="81">
        <v>0.29121675994236762</v>
      </c>
    </row>
    <row r="980" spans="2:4" x14ac:dyDescent="0.3">
      <c r="B980">
        <v>962</v>
      </c>
      <c r="C980" s="80">
        <v>269.2895737975407</v>
      </c>
      <c r="D980" s="81">
        <v>0.23116191419605348</v>
      </c>
    </row>
    <row r="981" spans="2:4" x14ac:dyDescent="0.3">
      <c r="B981">
        <v>963</v>
      </c>
      <c r="C981" s="80">
        <v>280.14928533056525</v>
      </c>
      <c r="D981" s="81">
        <v>0.21956157970974788</v>
      </c>
    </row>
    <row r="982" spans="2:4" x14ac:dyDescent="0.3">
      <c r="B982">
        <v>964</v>
      </c>
      <c r="C982" s="80">
        <v>361.71104563230756</v>
      </c>
      <c r="D982" s="81">
        <v>0.23565337240654394</v>
      </c>
    </row>
    <row r="983" spans="2:4" x14ac:dyDescent="0.3">
      <c r="B983">
        <v>965</v>
      </c>
      <c r="C983" s="80">
        <v>404.76926844805939</v>
      </c>
      <c r="D983" s="81">
        <v>0.27880785140935349</v>
      </c>
    </row>
    <row r="984" spans="2:4" x14ac:dyDescent="0.3">
      <c r="B984">
        <v>966</v>
      </c>
      <c r="C984" s="80">
        <v>165.78324927592041</v>
      </c>
      <c r="D984" s="81">
        <v>0.17921561126840735</v>
      </c>
    </row>
    <row r="985" spans="2:4" x14ac:dyDescent="0.3">
      <c r="B985">
        <v>967</v>
      </c>
      <c r="C985" s="80">
        <v>386.2196699662768</v>
      </c>
      <c r="D985" s="81">
        <v>0.28155239130681164</v>
      </c>
    </row>
    <row r="986" spans="2:4" x14ac:dyDescent="0.3">
      <c r="B986">
        <v>968</v>
      </c>
      <c r="C986" s="80">
        <v>365.07428779334987</v>
      </c>
      <c r="D986" s="81">
        <v>0.25256002704164504</v>
      </c>
    </row>
    <row r="987" spans="2:4" x14ac:dyDescent="0.3">
      <c r="B987">
        <v>969</v>
      </c>
      <c r="C987" s="80">
        <v>450.31218630154808</v>
      </c>
      <c r="D987" s="81">
        <v>0.27649023364319514</v>
      </c>
    </row>
    <row r="988" spans="2:4" x14ac:dyDescent="0.3">
      <c r="B988">
        <v>970</v>
      </c>
      <c r="C988" s="80">
        <v>237.75009462291041</v>
      </c>
      <c r="D988" s="81">
        <v>0.20020621920383697</v>
      </c>
    </row>
    <row r="989" spans="2:4" x14ac:dyDescent="0.3">
      <c r="B989">
        <v>971</v>
      </c>
      <c r="C989" s="80">
        <v>271.74253525832239</v>
      </c>
      <c r="D989" s="81">
        <v>0.22122373162918429</v>
      </c>
    </row>
    <row r="990" spans="2:4" x14ac:dyDescent="0.3">
      <c r="B990">
        <v>972</v>
      </c>
      <c r="C990" s="80">
        <v>558.52891195036295</v>
      </c>
      <c r="D990" s="81">
        <v>0.32836600461836851</v>
      </c>
    </row>
    <row r="991" spans="2:4" x14ac:dyDescent="0.3">
      <c r="B991">
        <v>973</v>
      </c>
      <c r="C991" s="80">
        <v>344.43141048251005</v>
      </c>
      <c r="D991" s="81">
        <v>0.2305354713708736</v>
      </c>
    </row>
    <row r="992" spans="2:4" x14ac:dyDescent="0.3">
      <c r="B992">
        <v>974</v>
      </c>
      <c r="C992" s="80">
        <v>497.93321539667772</v>
      </c>
      <c r="D992" s="81">
        <v>0.3394073481942359</v>
      </c>
    </row>
    <row r="993" spans="2:4" x14ac:dyDescent="0.3">
      <c r="B993">
        <v>975</v>
      </c>
      <c r="C993" s="80">
        <v>468.82602428798566</v>
      </c>
      <c r="D993" s="81">
        <v>0.32049735866722062</v>
      </c>
    </row>
    <row r="994" spans="2:4" x14ac:dyDescent="0.3">
      <c r="B994">
        <v>976</v>
      </c>
      <c r="C994" s="80">
        <v>374.94981210967376</v>
      </c>
      <c r="D994" s="81">
        <v>0.27810366279058218</v>
      </c>
    </row>
    <row r="995" spans="2:4" x14ac:dyDescent="0.3">
      <c r="B995">
        <v>977</v>
      </c>
      <c r="C995" s="80">
        <v>124.72725727909096</v>
      </c>
      <c r="D995" s="81">
        <v>0.16693655426506471</v>
      </c>
    </row>
    <row r="996" spans="2:4" x14ac:dyDescent="0.3">
      <c r="B996">
        <v>978</v>
      </c>
      <c r="C996" s="80">
        <v>425.62820148707544</v>
      </c>
      <c r="D996" s="81">
        <v>0.29763399639648935</v>
      </c>
    </row>
    <row r="997" spans="2:4" x14ac:dyDescent="0.3">
      <c r="B997">
        <v>979</v>
      </c>
      <c r="C997" s="80">
        <v>38.729723962214621</v>
      </c>
      <c r="D997" s="81">
        <v>0.12988475478067807</v>
      </c>
    </row>
    <row r="998" spans="2:4" x14ac:dyDescent="0.3">
      <c r="B998">
        <v>980</v>
      </c>
      <c r="C998" s="80">
        <v>376.94365404536711</v>
      </c>
      <c r="D998" s="81">
        <v>0.27483177534385295</v>
      </c>
    </row>
    <row r="999" spans="2:4" x14ac:dyDescent="0.3">
      <c r="B999">
        <v>981</v>
      </c>
      <c r="C999" s="80">
        <v>275.01711063166579</v>
      </c>
      <c r="D999" s="81">
        <v>0.24556672920298572</v>
      </c>
    </row>
    <row r="1000" spans="2:4" x14ac:dyDescent="0.3">
      <c r="B1000">
        <v>982</v>
      </c>
      <c r="C1000" s="80">
        <v>469.09818425125229</v>
      </c>
      <c r="D1000" s="81">
        <v>0.2880302265087773</v>
      </c>
    </row>
    <row r="1001" spans="2:4" x14ac:dyDescent="0.3">
      <c r="B1001">
        <v>983</v>
      </c>
      <c r="C1001" s="80">
        <v>655.09676947479784</v>
      </c>
      <c r="D1001" s="81">
        <v>0.38913727618987215</v>
      </c>
    </row>
    <row r="1002" spans="2:4" x14ac:dyDescent="0.3">
      <c r="B1002">
        <v>984</v>
      </c>
      <c r="C1002" s="80">
        <v>688.05299761738206</v>
      </c>
      <c r="D1002" s="81">
        <v>0.40198809537175406</v>
      </c>
    </row>
    <row r="1003" spans="2:4" x14ac:dyDescent="0.3">
      <c r="B1003">
        <v>985</v>
      </c>
      <c r="C1003" s="80">
        <v>564.7482540263145</v>
      </c>
      <c r="D1003" s="81">
        <v>0.35507776847792449</v>
      </c>
    </row>
    <row r="1004" spans="2:4" x14ac:dyDescent="0.3">
      <c r="B1004">
        <v>986</v>
      </c>
      <c r="C1004" s="80">
        <v>233.40993507452208</v>
      </c>
      <c r="D1004" s="81">
        <v>0.19495688334332861</v>
      </c>
    </row>
    <row r="1005" spans="2:4" x14ac:dyDescent="0.3">
      <c r="B1005">
        <v>987</v>
      </c>
      <c r="C1005" s="80">
        <v>574.79910441547986</v>
      </c>
      <c r="D1005" s="81">
        <v>0.32208061385828102</v>
      </c>
    </row>
    <row r="1006" spans="2:4" x14ac:dyDescent="0.3">
      <c r="B1006">
        <v>988</v>
      </c>
      <c r="C1006" s="80">
        <v>425.0252902318332</v>
      </c>
      <c r="D1006" s="81">
        <v>0.29496965845901979</v>
      </c>
    </row>
    <row r="1007" spans="2:4" x14ac:dyDescent="0.3">
      <c r="B1007">
        <v>989</v>
      </c>
      <c r="C1007" s="80">
        <v>551.87372717386211</v>
      </c>
      <c r="D1007" s="81">
        <v>0.32792735064155121</v>
      </c>
    </row>
    <row r="1008" spans="2:4" x14ac:dyDescent="0.3">
      <c r="B1008">
        <v>990</v>
      </c>
      <c r="C1008" s="80">
        <v>551.72138578576596</v>
      </c>
      <c r="D1008" s="81">
        <v>0.44497357029855866</v>
      </c>
    </row>
    <row r="1009" spans="2:4" x14ac:dyDescent="0.3">
      <c r="B1009">
        <v>991</v>
      </c>
      <c r="C1009" s="80">
        <v>636.47238066807608</v>
      </c>
      <c r="D1009" s="81">
        <v>0.37753208060503218</v>
      </c>
    </row>
    <row r="1010" spans="2:4" x14ac:dyDescent="0.3">
      <c r="B1010">
        <v>992</v>
      </c>
      <c r="C1010" s="80">
        <v>315.11385337234697</v>
      </c>
      <c r="D1010" s="81">
        <v>0.22014403285938533</v>
      </c>
    </row>
    <row r="1011" spans="2:4" x14ac:dyDescent="0.3">
      <c r="B1011">
        <v>993</v>
      </c>
      <c r="C1011" s="80">
        <v>856.55275460476037</v>
      </c>
      <c r="D1011" s="81">
        <v>0.52276386031505151</v>
      </c>
    </row>
    <row r="1012" spans="2:4" x14ac:dyDescent="0.3">
      <c r="B1012">
        <v>994</v>
      </c>
      <c r="C1012" s="80">
        <v>302.83618555148087</v>
      </c>
      <c r="D1012" s="81">
        <v>0.23741646576998443</v>
      </c>
    </row>
    <row r="1013" spans="2:4" x14ac:dyDescent="0.3">
      <c r="B1013">
        <v>995</v>
      </c>
      <c r="C1013" s="80">
        <v>499.75206563412848</v>
      </c>
      <c r="D1013" s="81">
        <v>0.35010059791259507</v>
      </c>
    </row>
    <row r="1014" spans="2:4" x14ac:dyDescent="0.3">
      <c r="B1014">
        <v>996</v>
      </c>
      <c r="C1014" s="80">
        <v>550.23631764799347</v>
      </c>
      <c r="D1014" s="81">
        <v>0.29391312147805659</v>
      </c>
    </row>
    <row r="1015" spans="2:4" x14ac:dyDescent="0.3">
      <c r="B1015">
        <v>997</v>
      </c>
      <c r="C1015" s="80">
        <v>417.93790623630935</v>
      </c>
      <c r="D1015" s="81">
        <v>0.30549486894207201</v>
      </c>
    </row>
    <row r="1016" spans="2:4" x14ac:dyDescent="0.3">
      <c r="B1016">
        <v>998</v>
      </c>
      <c r="C1016" s="80">
        <v>406.56079073577109</v>
      </c>
      <c r="D1016" s="81">
        <v>0.29670571066124785</v>
      </c>
    </row>
    <row r="1017" spans="2:4" x14ac:dyDescent="0.3">
      <c r="B1017">
        <v>999</v>
      </c>
      <c r="C1017" s="80">
        <v>679.79810779345553</v>
      </c>
      <c r="D1017" s="81">
        <v>0.45562587502437624</v>
      </c>
    </row>
    <row r="1018" spans="2:4" ht="15" thickBot="1" x14ac:dyDescent="0.35">
      <c r="B1018" s="68">
        <v>1000</v>
      </c>
      <c r="C1018" s="82">
        <v>482.51974071172845</v>
      </c>
      <c r="D1018" s="83">
        <v>0.35185888260234743</v>
      </c>
    </row>
    <row r="1019" spans="2:4" ht="15" thickTop="1" x14ac:dyDescent="0.3"/>
  </sheetData>
  <mergeCells count="2">
    <mergeCell ref="G9:H9"/>
    <mergeCell ref="G2:J2"/>
  </mergeCells>
  <pageMargins left="0.7" right="0.7" top="0.75" bottom="0.75" header="0.3" footer="0.3"/>
  <pageSetup paperSize="9" scale="9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7</xdr:col>
                    <xdr:colOff>899160</xdr:colOff>
                    <xdr:row>13</xdr:row>
                    <xdr:rowOff>7620</xdr:rowOff>
                  </from>
                  <to>
                    <xdr:col>8</xdr:col>
                    <xdr:colOff>601980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4B0B-46C2-443D-928A-59F30139ECF0}">
  <dimension ref="A2:M29"/>
  <sheetViews>
    <sheetView showGridLines="0" zoomScale="80" zoomScaleNormal="80" workbookViewId="0">
      <selection activeCell="F30" sqref="F30"/>
    </sheetView>
  </sheetViews>
  <sheetFormatPr defaultRowHeight="14.4" x14ac:dyDescent="0.3"/>
  <cols>
    <col min="1" max="1" width="9.6640625" bestFit="1" customWidth="1"/>
    <col min="2" max="2" width="9.6640625" customWidth="1"/>
    <col min="3" max="3" width="20.21875" bestFit="1" customWidth="1"/>
    <col min="4" max="4" width="18.44140625" customWidth="1"/>
    <col min="5" max="5" width="12.77734375" customWidth="1"/>
    <col min="8" max="8" width="20.44140625" bestFit="1" customWidth="1"/>
    <col min="10" max="10" width="11.88671875" customWidth="1"/>
    <col min="13" max="13" width="12.33203125" customWidth="1"/>
  </cols>
  <sheetData>
    <row r="2" spans="1:13" ht="15.6" customHeight="1" x14ac:dyDescent="0.3">
      <c r="C2" s="106" t="s">
        <v>74</v>
      </c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1:13" x14ac:dyDescent="0.3">
      <c r="C3" s="109"/>
      <c r="D3" s="110"/>
      <c r="E3" s="110"/>
      <c r="F3" s="110"/>
      <c r="G3" s="110"/>
      <c r="H3" s="110"/>
      <c r="I3" s="110"/>
      <c r="J3" s="110"/>
      <c r="K3" s="110"/>
      <c r="L3" s="110"/>
      <c r="M3" s="111"/>
    </row>
    <row r="4" spans="1:13" ht="15.6" x14ac:dyDescent="0.3">
      <c r="C4" s="92" t="s">
        <v>5</v>
      </c>
      <c r="D4" s="85" t="s">
        <v>58</v>
      </c>
      <c r="M4" s="69"/>
    </row>
    <row r="5" spans="1:13" ht="15.6" x14ac:dyDescent="0.3">
      <c r="C5" s="93" t="s">
        <v>57</v>
      </c>
      <c r="D5" s="86">
        <v>95.84</v>
      </c>
      <c r="H5" s="33" t="s">
        <v>63</v>
      </c>
      <c r="I5" s="33"/>
      <c r="J5" s="33"/>
      <c r="M5" s="69"/>
    </row>
    <row r="6" spans="1:13" ht="15.6" x14ac:dyDescent="0.3">
      <c r="C6" s="94" t="s">
        <v>59</v>
      </c>
      <c r="D6" s="87">
        <v>794.9</v>
      </c>
      <c r="H6" s="33"/>
      <c r="I6" s="33"/>
      <c r="J6" s="33"/>
      <c r="M6" s="69"/>
    </row>
    <row r="7" spans="1:13" ht="15.6" x14ac:dyDescent="0.3">
      <c r="C7" s="94" t="s">
        <v>60</v>
      </c>
      <c r="D7" s="87">
        <v>420.4</v>
      </c>
      <c r="H7" s="102" t="s">
        <v>66</v>
      </c>
      <c r="I7" s="91" t="s">
        <v>67</v>
      </c>
      <c r="J7" s="91"/>
      <c r="M7" s="69"/>
    </row>
    <row r="8" spans="1:13" ht="15.6" x14ac:dyDescent="0.3">
      <c r="C8" s="94" t="s">
        <v>61</v>
      </c>
      <c r="D8" s="87">
        <v>50</v>
      </c>
      <c r="H8" s="102"/>
      <c r="I8" s="33" t="s">
        <v>64</v>
      </c>
      <c r="J8" s="33"/>
      <c r="M8" s="69"/>
    </row>
    <row r="9" spans="1:13" ht="16.2" thickBot="1" x14ac:dyDescent="0.35">
      <c r="C9" s="95" t="s">
        <v>62</v>
      </c>
      <c r="D9" s="88" t="s">
        <v>4</v>
      </c>
      <c r="H9" s="33"/>
      <c r="I9" s="33"/>
      <c r="J9" s="33"/>
      <c r="M9" s="69"/>
    </row>
    <row r="10" spans="1:13" ht="15" thickTop="1" x14ac:dyDescent="0.3">
      <c r="C10" s="70"/>
      <c r="I10" s="96">
        <f>+(D6-D5)/16</f>
        <v>43.691249999999997</v>
      </c>
      <c r="M10" s="69"/>
    </row>
    <row r="11" spans="1:13" x14ac:dyDescent="0.3">
      <c r="C11" s="70"/>
      <c r="M11" s="69"/>
    </row>
    <row r="12" spans="1:13" ht="15.6" x14ac:dyDescent="0.3">
      <c r="A12" s="33" t="s">
        <v>65</v>
      </c>
      <c r="B12" s="33"/>
      <c r="C12" s="92" t="s">
        <v>40</v>
      </c>
      <c r="D12" s="89" t="s">
        <v>38</v>
      </c>
      <c r="E12" s="89" t="s">
        <v>39</v>
      </c>
      <c r="M12" s="69"/>
    </row>
    <row r="13" spans="1:13" ht="15.6" x14ac:dyDescent="0.3">
      <c r="A13">
        <v>1</v>
      </c>
      <c r="C13" s="97" t="s">
        <v>41</v>
      </c>
      <c r="D13" s="90">
        <v>117.81</v>
      </c>
      <c r="E13" s="90">
        <v>4</v>
      </c>
      <c r="H13" s="103" t="s">
        <v>68</v>
      </c>
      <c r="I13" s="103"/>
      <c r="J13" s="103"/>
      <c r="M13" s="69"/>
    </row>
    <row r="14" spans="1:13" ht="15.6" x14ac:dyDescent="0.3">
      <c r="A14">
        <v>2</v>
      </c>
      <c r="C14" s="98" t="s">
        <v>42</v>
      </c>
      <c r="D14" s="25">
        <v>161.75</v>
      </c>
      <c r="E14" s="25">
        <v>13</v>
      </c>
      <c r="H14" s="33" t="s">
        <v>69</v>
      </c>
      <c r="I14" s="33" t="s">
        <v>71</v>
      </c>
      <c r="J14" s="33" t="s">
        <v>70</v>
      </c>
      <c r="M14" s="69"/>
    </row>
    <row r="15" spans="1:13" ht="15.6" x14ac:dyDescent="0.3">
      <c r="A15">
        <v>3</v>
      </c>
      <c r="C15" s="98" t="s">
        <v>43</v>
      </c>
      <c r="D15" s="25">
        <v>205.69</v>
      </c>
      <c r="E15" s="25">
        <v>29</v>
      </c>
      <c r="H15" s="33"/>
      <c r="I15" s="33" t="s">
        <v>71</v>
      </c>
      <c r="J15" s="99">
        <f>D5+I10</f>
        <v>139.53125</v>
      </c>
      <c r="M15" s="69"/>
    </row>
    <row r="16" spans="1:13" ht="15.6" x14ac:dyDescent="0.3">
      <c r="A16">
        <v>4</v>
      </c>
      <c r="C16" s="98" t="s">
        <v>44</v>
      </c>
      <c r="D16" s="25">
        <v>249.63</v>
      </c>
      <c r="E16" s="25">
        <v>56</v>
      </c>
      <c r="M16" s="69"/>
    </row>
    <row r="17" spans="1:13" ht="15.6" x14ac:dyDescent="0.3">
      <c r="A17">
        <v>5</v>
      </c>
      <c r="C17" s="98" t="s">
        <v>45</v>
      </c>
      <c r="D17" s="25">
        <v>293.57</v>
      </c>
      <c r="E17" s="25">
        <v>86</v>
      </c>
      <c r="H17" s="33" t="s">
        <v>72</v>
      </c>
      <c r="M17" s="69"/>
    </row>
    <row r="18" spans="1:13" ht="15.6" customHeight="1" x14ac:dyDescent="0.3">
      <c r="A18">
        <v>6</v>
      </c>
      <c r="C18" s="98" t="s">
        <v>46</v>
      </c>
      <c r="D18" s="25">
        <v>337.51</v>
      </c>
      <c r="E18" s="25">
        <v>106</v>
      </c>
      <c r="H18" s="104" t="s">
        <v>73</v>
      </c>
      <c r="I18" s="104"/>
      <c r="J18" s="104"/>
      <c r="K18" s="104"/>
      <c r="L18" s="104"/>
      <c r="M18" s="105"/>
    </row>
    <row r="19" spans="1:13" ht="15.6" x14ac:dyDescent="0.3">
      <c r="A19">
        <v>7</v>
      </c>
      <c r="C19" s="98" t="s">
        <v>47</v>
      </c>
      <c r="D19" s="25">
        <v>381.45</v>
      </c>
      <c r="E19" s="25">
        <v>143</v>
      </c>
      <c r="H19" s="104"/>
      <c r="I19" s="104"/>
      <c r="J19" s="104"/>
      <c r="K19" s="104"/>
      <c r="L19" s="104"/>
      <c r="M19" s="105"/>
    </row>
    <row r="20" spans="1:13" ht="15.6" x14ac:dyDescent="0.3">
      <c r="A20">
        <v>8</v>
      </c>
      <c r="C20" s="98" t="s">
        <v>48</v>
      </c>
      <c r="D20" s="25">
        <v>425.39</v>
      </c>
      <c r="E20" s="25">
        <v>111</v>
      </c>
      <c r="M20" s="69"/>
    </row>
    <row r="21" spans="1:13" ht="15.6" x14ac:dyDescent="0.3">
      <c r="A21">
        <v>9</v>
      </c>
      <c r="C21" s="98" t="s">
        <v>49</v>
      </c>
      <c r="D21" s="25">
        <v>469.33</v>
      </c>
      <c r="E21" s="25">
        <v>79</v>
      </c>
      <c r="M21" s="69"/>
    </row>
    <row r="22" spans="1:13" ht="15.6" x14ac:dyDescent="0.3">
      <c r="A22">
        <v>10</v>
      </c>
      <c r="C22" s="98" t="s">
        <v>50</v>
      </c>
      <c r="D22" s="25">
        <v>513.27</v>
      </c>
      <c r="E22" s="25">
        <v>76</v>
      </c>
      <c r="M22" s="69"/>
    </row>
    <row r="23" spans="1:13" ht="15.6" x14ac:dyDescent="0.3">
      <c r="A23">
        <v>11</v>
      </c>
      <c r="C23" s="98" t="s">
        <v>51</v>
      </c>
      <c r="D23" s="25">
        <v>557.21</v>
      </c>
      <c r="E23" s="25">
        <v>46</v>
      </c>
      <c r="M23" s="69"/>
    </row>
    <row r="24" spans="1:13" ht="15.6" x14ac:dyDescent="0.3">
      <c r="A24">
        <v>12</v>
      </c>
      <c r="C24" s="98" t="s">
        <v>52</v>
      </c>
      <c r="D24" s="25">
        <v>601.15</v>
      </c>
      <c r="E24" s="25">
        <v>29</v>
      </c>
      <c r="M24" s="69"/>
    </row>
    <row r="25" spans="1:13" ht="15.6" x14ac:dyDescent="0.3">
      <c r="A25">
        <v>13</v>
      </c>
      <c r="C25" s="98" t="s">
        <v>53</v>
      </c>
      <c r="D25" s="25">
        <v>645.09</v>
      </c>
      <c r="E25" s="25">
        <v>15</v>
      </c>
      <c r="M25" s="69"/>
    </row>
    <row r="26" spans="1:13" ht="15.6" x14ac:dyDescent="0.3">
      <c r="A26">
        <v>14</v>
      </c>
      <c r="C26" s="98" t="s">
        <v>54</v>
      </c>
      <c r="D26" s="25">
        <v>689.03</v>
      </c>
      <c r="E26" s="25">
        <v>4</v>
      </c>
      <c r="M26" s="69"/>
    </row>
    <row r="27" spans="1:13" ht="15.6" x14ac:dyDescent="0.3">
      <c r="A27">
        <v>15</v>
      </c>
      <c r="C27" s="98" t="s">
        <v>55</v>
      </c>
      <c r="D27" s="25">
        <v>732.97</v>
      </c>
      <c r="E27" s="25">
        <v>2</v>
      </c>
      <c r="M27" s="69"/>
    </row>
    <row r="28" spans="1:13" ht="16.2" thickBot="1" x14ac:dyDescent="0.35">
      <c r="A28">
        <v>16</v>
      </c>
      <c r="C28" s="100" t="s">
        <v>56</v>
      </c>
      <c r="D28" s="5">
        <v>776.91</v>
      </c>
      <c r="E28" s="5">
        <v>1</v>
      </c>
      <c r="M28" s="69"/>
    </row>
    <row r="29" spans="1:13" ht="15" thickTop="1" x14ac:dyDescent="0.3">
      <c r="C29" s="71"/>
      <c r="D29" s="72"/>
      <c r="E29" s="72"/>
      <c r="F29" s="72"/>
      <c r="G29" s="72"/>
      <c r="H29" s="72"/>
      <c r="I29" s="72"/>
      <c r="J29" s="72"/>
      <c r="K29" s="72"/>
      <c r="L29" s="72"/>
      <c r="M29" s="73"/>
    </row>
  </sheetData>
  <mergeCells count="4">
    <mergeCell ref="H7:H8"/>
    <mergeCell ref="H13:J13"/>
    <mergeCell ref="H18:M19"/>
    <mergeCell ref="C2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F0A2-D1E3-4883-A3E5-159DFB85376D}">
  <dimension ref="D3:H15"/>
  <sheetViews>
    <sheetView showGridLines="0" workbookViewId="0">
      <selection activeCell="N7" sqref="N7"/>
    </sheetView>
  </sheetViews>
  <sheetFormatPr defaultRowHeight="14.4" x14ac:dyDescent="0.3"/>
  <cols>
    <col min="4" max="4" width="13.77734375" customWidth="1"/>
    <col min="5" max="5" width="18.109375" customWidth="1"/>
    <col min="6" max="6" width="16.5546875" customWidth="1"/>
    <col min="7" max="7" width="19.6640625" customWidth="1"/>
    <col min="8" max="8" width="19.109375" customWidth="1"/>
  </cols>
  <sheetData>
    <row r="3" spans="4:8" ht="50.4" customHeight="1" x14ac:dyDescent="0.35">
      <c r="D3" s="67" t="s">
        <v>35</v>
      </c>
      <c r="E3" s="34" t="s">
        <v>31</v>
      </c>
      <c r="F3" s="34" t="s">
        <v>32</v>
      </c>
      <c r="G3" s="34" t="s">
        <v>33</v>
      </c>
      <c r="H3" s="34" t="s">
        <v>34</v>
      </c>
    </row>
    <row r="4" spans="4:8" ht="25.2" customHeight="1" x14ac:dyDescent="0.3">
      <c r="D4" s="35">
        <v>45382</v>
      </c>
      <c r="E4" s="38">
        <v>3.5060274219999998</v>
      </c>
      <c r="F4" s="39">
        <v>10.658538878</v>
      </c>
      <c r="G4" s="40">
        <v>17.078628826999999</v>
      </c>
      <c r="H4" s="41">
        <v>19.550550135000002</v>
      </c>
    </row>
    <row r="5" spans="4:8" ht="25.2" customHeight="1" x14ac:dyDescent="0.3">
      <c r="D5" s="36">
        <v>45016</v>
      </c>
      <c r="E5" s="42">
        <v>4.2959541449999996</v>
      </c>
      <c r="F5" s="43">
        <v>-0.91878413000000003</v>
      </c>
      <c r="G5" s="44">
        <v>63.274682306999999</v>
      </c>
      <c r="H5" s="45">
        <v>20.158452931999999</v>
      </c>
    </row>
    <row r="6" spans="4:8" ht="25.2" customHeight="1" x14ac:dyDescent="0.3">
      <c r="D6" s="36">
        <v>44651</v>
      </c>
      <c r="E6" s="42">
        <v>4.9094021970000004</v>
      </c>
      <c r="F6" s="43">
        <v>16.500815041999999</v>
      </c>
      <c r="G6" s="44">
        <v>-5.2272417090000003</v>
      </c>
      <c r="H6" s="45">
        <v>2.0624273789999998</v>
      </c>
    </row>
    <row r="7" spans="4:8" ht="25.2" customHeight="1" x14ac:dyDescent="0.3">
      <c r="D7" s="36">
        <v>44286</v>
      </c>
      <c r="E7" s="42">
        <v>3.6008159310000001</v>
      </c>
      <c r="F7" s="43">
        <v>13.916294297</v>
      </c>
      <c r="G7" s="44">
        <v>8.4193194289999997</v>
      </c>
      <c r="H7" s="45">
        <v>3.3829876099999998</v>
      </c>
    </row>
    <row r="8" spans="4:8" ht="25.2" customHeight="1" x14ac:dyDescent="0.3">
      <c r="D8" s="36">
        <v>43921</v>
      </c>
      <c r="E8" s="42">
        <v>2.9970098250000001</v>
      </c>
      <c r="F8" s="43">
        <v>3.7134641510000002</v>
      </c>
      <c r="G8" s="44">
        <v>-6.1032367250000004</v>
      </c>
      <c r="H8" s="45">
        <v>-8.1354639679999998</v>
      </c>
    </row>
    <row r="9" spans="4:8" ht="25.2" customHeight="1" x14ac:dyDescent="0.3">
      <c r="D9" s="36">
        <v>43555</v>
      </c>
      <c r="E9" s="42">
        <v>3.4197718909999999</v>
      </c>
      <c r="F9" s="43">
        <v>7.7728816829999996</v>
      </c>
      <c r="G9" s="44">
        <v>-11.910669974999999</v>
      </c>
      <c r="H9" s="45">
        <v>-8.2766775000000001E-2</v>
      </c>
    </row>
    <row r="10" spans="4:8" ht="25.2" customHeight="1" x14ac:dyDescent="0.3">
      <c r="D10" s="36">
        <v>43190</v>
      </c>
      <c r="E10" s="42">
        <v>5.4062687159999996</v>
      </c>
      <c r="F10" s="43">
        <v>6.7068012719999999</v>
      </c>
      <c r="G10" s="44">
        <v>4.7227926079999998</v>
      </c>
      <c r="H10" s="45">
        <v>0.49148799799999998</v>
      </c>
    </row>
    <row r="11" spans="4:8" ht="25.2" customHeight="1" x14ac:dyDescent="0.3">
      <c r="D11" s="36">
        <v>42825</v>
      </c>
      <c r="E11" s="42">
        <v>3.947297077</v>
      </c>
      <c r="F11" s="43">
        <v>10.233045722</v>
      </c>
      <c r="G11" s="44">
        <v>1.0744552060000001</v>
      </c>
      <c r="H11" s="45">
        <v>-6.9056504199999997</v>
      </c>
    </row>
    <row r="12" spans="4:8" ht="25.2" customHeight="1" x14ac:dyDescent="0.3">
      <c r="D12" s="36">
        <v>42460</v>
      </c>
      <c r="E12" s="42">
        <v>5.9681514870000001</v>
      </c>
      <c r="F12" s="43">
        <v>4.0120367870000004</v>
      </c>
      <c r="G12" s="44">
        <v>15.595348505</v>
      </c>
      <c r="H12" s="45">
        <v>7.0797413789999997</v>
      </c>
    </row>
    <row r="13" spans="4:8" ht="25.2" customHeight="1" thickBot="1" x14ac:dyDescent="0.35">
      <c r="D13" s="37">
        <v>42094</v>
      </c>
      <c r="E13" s="46">
        <v>5.5217044169999996</v>
      </c>
      <c r="F13" s="47">
        <v>5.0461927050000002</v>
      </c>
      <c r="G13" s="48">
        <v>-10.356459112</v>
      </c>
      <c r="H13" s="49">
        <v>2.3843200649999998</v>
      </c>
    </row>
    <row r="14" spans="4:8" ht="15" thickTop="1" x14ac:dyDescent="0.3"/>
    <row r="15" spans="4:8" ht="15.6" x14ac:dyDescent="0.3">
      <c r="D15" s="33" t="s">
        <v>36</v>
      </c>
      <c r="E15" s="33"/>
      <c r="F15" s="33"/>
      <c r="G15" s="33"/>
      <c r="H15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2751-66DF-4772-BD69-ED12F8DDF8DF}">
  <dimension ref="C4:I45"/>
  <sheetViews>
    <sheetView showGridLines="0" zoomScale="79" zoomScaleNormal="95" workbookViewId="0">
      <selection activeCell="C4" sqref="C4:I46"/>
    </sheetView>
  </sheetViews>
  <sheetFormatPr defaultRowHeight="14.4" x14ac:dyDescent="0.3"/>
  <cols>
    <col min="3" max="3" width="11.88671875" customWidth="1"/>
    <col min="4" max="4" width="12.6640625" bestFit="1" customWidth="1"/>
    <col min="5" max="8" width="11.88671875" customWidth="1"/>
    <col min="9" max="9" width="14.5546875" bestFit="1" customWidth="1"/>
  </cols>
  <sheetData>
    <row r="4" spans="3:9" ht="44.4" customHeight="1" x14ac:dyDescent="0.3">
      <c r="C4" s="50" t="s">
        <v>27</v>
      </c>
      <c r="D4" s="56" t="s">
        <v>28</v>
      </c>
      <c r="E4" s="56" t="s">
        <v>21</v>
      </c>
      <c r="F4" s="56" t="s">
        <v>22</v>
      </c>
      <c r="G4" s="56" t="s">
        <v>23</v>
      </c>
      <c r="H4" s="57" t="s">
        <v>29</v>
      </c>
      <c r="I4" s="56" t="s">
        <v>30</v>
      </c>
    </row>
    <row r="5" spans="3:9" ht="21.6" customHeight="1" x14ac:dyDescent="0.3">
      <c r="C5" s="114" t="s">
        <v>24</v>
      </c>
      <c r="D5" s="55">
        <v>45382</v>
      </c>
      <c r="E5" s="59">
        <v>3.5060274219999998</v>
      </c>
      <c r="F5" s="59">
        <v>10.196708149000001</v>
      </c>
      <c r="G5" s="59">
        <v>3.0999237220000002</v>
      </c>
      <c r="H5" s="59">
        <v>15.355163728000001</v>
      </c>
      <c r="I5" s="59">
        <v>206.70748026199999</v>
      </c>
    </row>
    <row r="6" spans="3:9" ht="21.6" customHeight="1" x14ac:dyDescent="0.3">
      <c r="C6" s="115"/>
      <c r="D6" s="51">
        <v>45016</v>
      </c>
      <c r="E6" s="60">
        <v>4.2959541449999996</v>
      </c>
      <c r="F6" s="60">
        <v>12.143968608</v>
      </c>
      <c r="G6" s="60">
        <v>3.8728329939999999</v>
      </c>
      <c r="H6" s="60">
        <v>16.575095803</v>
      </c>
      <c r="I6" s="60">
        <v>192.67979162399999</v>
      </c>
    </row>
    <row r="7" spans="3:9" ht="21.6" customHeight="1" x14ac:dyDescent="0.3">
      <c r="C7" s="115"/>
      <c r="D7" s="51">
        <v>44651</v>
      </c>
      <c r="E7" s="60">
        <v>4.9094021970000004</v>
      </c>
      <c r="F7" s="60">
        <v>14.424044265999999</v>
      </c>
      <c r="G7" s="60">
        <v>3.6274509799999999</v>
      </c>
      <c r="H7" s="60">
        <v>18.651417421000001</v>
      </c>
      <c r="I7" s="60">
        <v>244.61351442</v>
      </c>
    </row>
    <row r="8" spans="3:9" ht="21.6" customHeight="1" x14ac:dyDescent="0.3">
      <c r="C8" s="115"/>
      <c r="D8" s="51">
        <v>44286</v>
      </c>
      <c r="E8" s="60">
        <v>3.6008159310000001</v>
      </c>
      <c r="F8" s="60">
        <v>10.488418933</v>
      </c>
      <c r="G8" s="60">
        <v>3.0989645320000001</v>
      </c>
      <c r="H8" s="60">
        <v>14.094323026</v>
      </c>
      <c r="I8" s="60">
        <v>210.09566968799999</v>
      </c>
    </row>
    <row r="9" spans="3:9" ht="21.6" customHeight="1" x14ac:dyDescent="0.3">
      <c r="C9" s="115"/>
      <c r="D9" s="51">
        <v>43921</v>
      </c>
      <c r="E9" s="60">
        <v>2.9970098250000001</v>
      </c>
      <c r="F9" s="60">
        <v>8.9562908500000002</v>
      </c>
      <c r="G9" s="60">
        <v>2.6144375379999998</v>
      </c>
      <c r="H9" s="60">
        <v>12.063273728</v>
      </c>
      <c r="I9" s="60">
        <v>219.633374183</v>
      </c>
    </row>
    <row r="10" spans="3:9" ht="21.6" customHeight="1" x14ac:dyDescent="0.3">
      <c r="C10" s="115"/>
      <c r="D10" s="51">
        <v>43555</v>
      </c>
      <c r="E10" s="60">
        <v>3.4197718909999999</v>
      </c>
      <c r="F10" s="60">
        <v>9.5048789300000003</v>
      </c>
      <c r="G10" s="60">
        <v>2.9239394569999999</v>
      </c>
      <c r="H10" s="60">
        <v>12.328400188</v>
      </c>
      <c r="I10" s="60">
        <v>201.02741494099999</v>
      </c>
    </row>
    <row r="11" spans="3:9" ht="21.6" customHeight="1" x14ac:dyDescent="0.3">
      <c r="C11" s="115"/>
      <c r="D11" s="51">
        <v>43190</v>
      </c>
      <c r="E11" s="60">
        <v>5.4062687159999996</v>
      </c>
      <c r="F11" s="60">
        <v>14.367572156</v>
      </c>
      <c r="G11" s="60">
        <v>4.6064606120000002</v>
      </c>
      <c r="H11" s="60">
        <v>17.757377048999999</v>
      </c>
      <c r="I11" s="60">
        <v>189.35165534800001</v>
      </c>
    </row>
    <row r="12" spans="3:9" ht="21.6" customHeight="1" x14ac:dyDescent="0.3">
      <c r="C12" s="115"/>
      <c r="D12" s="51">
        <v>42825</v>
      </c>
      <c r="E12" s="60">
        <v>3.947297077</v>
      </c>
      <c r="F12" s="60">
        <v>10.714285714000001</v>
      </c>
      <c r="G12" s="60">
        <v>3.3171324420000001</v>
      </c>
      <c r="H12" s="60">
        <v>14.526105753</v>
      </c>
      <c r="I12" s="60">
        <v>198.39580062799999</v>
      </c>
    </row>
    <row r="13" spans="3:9" ht="21.6" customHeight="1" x14ac:dyDescent="0.3">
      <c r="C13" s="115"/>
      <c r="D13" s="51">
        <v>42460</v>
      </c>
      <c r="E13" s="60">
        <v>5.9681514870000001</v>
      </c>
      <c r="F13" s="60">
        <v>22.351640250999999</v>
      </c>
      <c r="G13" s="60">
        <v>5.1807805340000002</v>
      </c>
      <c r="H13" s="60">
        <v>20.0595435</v>
      </c>
      <c r="I13" s="60">
        <v>301.13527460400002</v>
      </c>
    </row>
    <row r="14" spans="3:9" ht="21.6" customHeight="1" x14ac:dyDescent="0.3">
      <c r="C14" s="115"/>
      <c r="D14" s="51">
        <v>42094</v>
      </c>
      <c r="E14" s="60">
        <v>5.5217044169999996</v>
      </c>
      <c r="F14" s="60">
        <v>21.947553031999998</v>
      </c>
      <c r="G14" s="60">
        <v>4.7809634699999997</v>
      </c>
      <c r="H14" s="60">
        <v>17.288336294</v>
      </c>
      <c r="I14" s="60">
        <v>322.76599298500003</v>
      </c>
    </row>
    <row r="15" spans="3:9" ht="21.6" customHeight="1" x14ac:dyDescent="0.3">
      <c r="C15" s="113" t="s">
        <v>20</v>
      </c>
      <c r="D15" s="52">
        <v>45382</v>
      </c>
      <c r="E15" s="61">
        <v>10.658538878</v>
      </c>
      <c r="F15" s="62">
        <v>21.139361693000001</v>
      </c>
      <c r="G15" s="62">
        <v>8.8259014790000005</v>
      </c>
      <c r="H15" s="62">
        <v>23.860115518000001</v>
      </c>
      <c r="I15" s="62">
        <v>107.18201150500001</v>
      </c>
    </row>
    <row r="16" spans="3:9" ht="21.6" customHeight="1" x14ac:dyDescent="0.3">
      <c r="C16" s="113"/>
      <c r="D16" s="52">
        <v>45016</v>
      </c>
      <c r="E16" s="61">
        <v>-0.91878413000000003</v>
      </c>
      <c r="F16" s="62">
        <v>-1.8496860209999999</v>
      </c>
      <c r="G16" s="62">
        <v>-0.75759809</v>
      </c>
      <c r="H16" s="62">
        <v>-1.646024642</v>
      </c>
      <c r="I16" s="62">
        <v>117.69796858399999</v>
      </c>
    </row>
    <row r="17" spans="3:9" ht="21.6" customHeight="1" x14ac:dyDescent="0.3">
      <c r="C17" s="113"/>
      <c r="D17" s="52">
        <v>44651</v>
      </c>
      <c r="E17" s="61">
        <v>16.500815041999999</v>
      </c>
      <c r="F17" s="62">
        <v>37.958098061999998</v>
      </c>
      <c r="G17" s="62">
        <v>13.517122517000001</v>
      </c>
      <c r="H17" s="62">
        <v>40.452127042000001</v>
      </c>
      <c r="I17" s="62">
        <v>143.018160413</v>
      </c>
    </row>
    <row r="18" spans="3:9" ht="21.6" customHeight="1" x14ac:dyDescent="0.3">
      <c r="C18" s="113"/>
      <c r="D18" s="52">
        <v>44286</v>
      </c>
      <c r="E18" s="61">
        <v>13.916294297</v>
      </c>
      <c r="F18" s="62">
        <v>37.664456452000003</v>
      </c>
      <c r="G18" s="62">
        <v>11.654532317999999</v>
      </c>
      <c r="H18" s="62">
        <v>36.862768076999998</v>
      </c>
      <c r="I18" s="62">
        <v>184.68365987600001</v>
      </c>
    </row>
    <row r="19" spans="3:9" ht="21.6" customHeight="1" x14ac:dyDescent="0.3">
      <c r="C19" s="113"/>
      <c r="D19" s="52">
        <v>43921</v>
      </c>
      <c r="E19" s="61">
        <v>3.7134641510000002</v>
      </c>
      <c r="F19" s="62">
        <v>11.94284669</v>
      </c>
      <c r="G19" s="62">
        <v>2.7938778129999999</v>
      </c>
      <c r="H19" s="62">
        <v>8.6404140809999994</v>
      </c>
      <c r="I19" s="62">
        <v>261.58614662299999</v>
      </c>
    </row>
    <row r="20" spans="3:9" ht="21.6" customHeight="1" x14ac:dyDescent="0.3">
      <c r="C20" s="113"/>
      <c r="D20" s="52">
        <v>43555</v>
      </c>
      <c r="E20" s="61">
        <v>7.7728816829999996</v>
      </c>
      <c r="F20" s="62">
        <v>23.463954942000001</v>
      </c>
      <c r="G20" s="62">
        <v>5.4083275459999998</v>
      </c>
      <c r="H20" s="62">
        <v>18.694418680999998</v>
      </c>
      <c r="I20" s="62">
        <v>213.80857001000001</v>
      </c>
    </row>
    <row r="21" spans="3:9" ht="21.6" customHeight="1" x14ac:dyDescent="0.3">
      <c r="C21" s="113"/>
      <c r="D21" s="52">
        <v>43190</v>
      </c>
      <c r="E21" s="61">
        <v>6.7068012719999999</v>
      </c>
      <c r="F21" s="62">
        <v>20.767848266000001</v>
      </c>
      <c r="G21" s="62">
        <v>4.678871419</v>
      </c>
      <c r="H21" s="62">
        <v>3.478466938</v>
      </c>
      <c r="I21" s="62">
        <v>222.08710948000001</v>
      </c>
    </row>
    <row r="22" spans="3:9" ht="21.6" customHeight="1" x14ac:dyDescent="0.3">
      <c r="C22" s="113"/>
      <c r="D22" s="52">
        <v>42825</v>
      </c>
      <c r="E22" s="61">
        <v>10.233045722</v>
      </c>
      <c r="F22" s="62">
        <v>28.323634913999999</v>
      </c>
      <c r="G22" s="62">
        <v>7.4283755080000002</v>
      </c>
      <c r="H22" s="62">
        <v>6.1182110280000002</v>
      </c>
      <c r="I22" s="62">
        <v>179.056197688</v>
      </c>
    </row>
    <row r="23" spans="3:9" ht="21.6" customHeight="1" x14ac:dyDescent="0.3">
      <c r="C23" s="113"/>
      <c r="D23" s="52">
        <v>42460</v>
      </c>
      <c r="E23" s="61">
        <v>4.0120367870000004</v>
      </c>
      <c r="F23" s="62">
        <v>19.728660260000002</v>
      </c>
      <c r="G23" s="62">
        <v>2.6741245880000002</v>
      </c>
      <c r="H23" s="62">
        <v>2.0614079279999999</v>
      </c>
      <c r="I23" s="62">
        <v>422.43873241799997</v>
      </c>
    </row>
    <row r="24" spans="3:9" ht="21.6" customHeight="1" x14ac:dyDescent="0.3">
      <c r="C24" s="113"/>
      <c r="D24" s="52">
        <v>42094</v>
      </c>
      <c r="E24" s="62">
        <v>5.0461927050000002</v>
      </c>
      <c r="F24" s="62">
        <v>12.091110928000001</v>
      </c>
      <c r="G24" s="62">
        <v>3.1559607820000002</v>
      </c>
      <c r="H24" s="62">
        <v>2.3225839060000002</v>
      </c>
      <c r="I24" s="62">
        <v>151.66022530999999</v>
      </c>
    </row>
    <row r="25" spans="3:9" ht="21.6" customHeight="1" x14ac:dyDescent="0.3">
      <c r="C25" s="112" t="s">
        <v>25</v>
      </c>
      <c r="D25" s="53">
        <v>45382</v>
      </c>
      <c r="E25" s="63">
        <v>17.078628826999999</v>
      </c>
      <c r="F25" s="63">
        <v>34.891936825000002</v>
      </c>
      <c r="G25" s="63">
        <v>8.9627929319999993</v>
      </c>
      <c r="H25" s="63">
        <v>8.4316777980000008</v>
      </c>
      <c r="I25" s="63">
        <v>118.97339983400001</v>
      </c>
    </row>
    <row r="26" spans="3:9" ht="21.6" customHeight="1" x14ac:dyDescent="0.3">
      <c r="C26" s="112"/>
      <c r="D26" s="53">
        <v>45016</v>
      </c>
      <c r="E26" s="63">
        <v>63.274682306999999</v>
      </c>
      <c r="F26" s="63">
        <v>152.91755256299999</v>
      </c>
      <c r="G26" s="63">
        <v>30.295797060999998</v>
      </c>
      <c r="H26" s="63">
        <v>24.465190112999998</v>
      </c>
      <c r="I26" s="63">
        <v>165.34372785299999</v>
      </c>
    </row>
    <row r="27" spans="3:9" ht="21.6" customHeight="1" x14ac:dyDescent="0.3">
      <c r="C27" s="112"/>
      <c r="D27" s="53">
        <v>44651</v>
      </c>
      <c r="E27" s="63">
        <v>-5.2272417090000003</v>
      </c>
      <c r="F27" s="63">
        <v>-29.921875</v>
      </c>
      <c r="G27" s="63">
        <v>-1.3189613609999999</v>
      </c>
      <c r="H27" s="63">
        <v>-1.6132429129999999</v>
      </c>
      <c r="I27" s="63">
        <v>551.25</v>
      </c>
    </row>
    <row r="28" spans="3:9" ht="21.6" customHeight="1" x14ac:dyDescent="0.3">
      <c r="C28" s="112"/>
      <c r="D28" s="53">
        <v>44286</v>
      </c>
      <c r="E28" s="63">
        <v>8.4193194289999997</v>
      </c>
      <c r="F28" s="63">
        <v>27.890909091000001</v>
      </c>
      <c r="G28" s="63">
        <v>2.8317211840000001</v>
      </c>
      <c r="H28" s="63">
        <v>5.2021161149999999</v>
      </c>
      <c r="I28" s="63">
        <v>275.05454545499998</v>
      </c>
    </row>
    <row r="29" spans="3:9" ht="21.6" customHeight="1" x14ac:dyDescent="0.3">
      <c r="C29" s="112"/>
      <c r="D29" s="53">
        <v>43921</v>
      </c>
      <c r="E29" s="63">
        <v>-6.1032367250000004</v>
      </c>
      <c r="F29" s="63">
        <v>-41.751085384</v>
      </c>
      <c r="G29" s="63">
        <v>-3.3705239790000001</v>
      </c>
      <c r="H29" s="63">
        <v>-4.7105886190000001</v>
      </c>
      <c r="I29" s="63">
        <v>641.02749638199998</v>
      </c>
    </row>
    <row r="30" spans="3:9" ht="21.6" customHeight="1" x14ac:dyDescent="0.3">
      <c r="C30" s="112"/>
      <c r="D30" s="53">
        <v>43555</v>
      </c>
      <c r="E30" s="63">
        <v>-11.910669974999999</v>
      </c>
      <c r="F30" s="63">
        <v>-61.504178273000001</v>
      </c>
      <c r="G30" s="63">
        <v>-6.0813043960000002</v>
      </c>
      <c r="H30" s="63">
        <v>-4.8690129659999997</v>
      </c>
      <c r="I30" s="63">
        <v>459.49860724199999</v>
      </c>
    </row>
    <row r="31" spans="3:9" ht="21.6" customHeight="1" x14ac:dyDescent="0.3">
      <c r="C31" s="112"/>
      <c r="D31" s="53">
        <v>43190</v>
      </c>
      <c r="E31" s="63">
        <v>4.7227926079999998</v>
      </c>
      <c r="F31" s="63">
        <v>14.564336373</v>
      </c>
      <c r="G31" s="63">
        <v>2.7971007440000002</v>
      </c>
      <c r="H31" s="63">
        <v>1.936939972</v>
      </c>
      <c r="I31" s="63">
        <v>213.42451874400001</v>
      </c>
    </row>
    <row r="32" spans="3:9" ht="21.6" customHeight="1" x14ac:dyDescent="0.3">
      <c r="C32" s="112"/>
      <c r="D32" s="53">
        <v>42825</v>
      </c>
      <c r="E32" s="63">
        <v>1.0744552060000001</v>
      </c>
      <c r="F32" s="63">
        <v>4.1423570600000001</v>
      </c>
      <c r="G32" s="63">
        <v>0.68705244799999998</v>
      </c>
      <c r="H32" s="63">
        <v>0.50672661699999999</v>
      </c>
      <c r="I32" s="63">
        <v>302.65460910199999</v>
      </c>
    </row>
    <row r="33" spans="3:9" ht="21.6" customHeight="1" x14ac:dyDescent="0.3">
      <c r="C33" s="112"/>
      <c r="D33" s="53">
        <v>42460</v>
      </c>
      <c r="E33" s="63">
        <v>15.595348505</v>
      </c>
      <c r="F33" s="63">
        <v>76.863572433000002</v>
      </c>
      <c r="G33" s="63">
        <v>9.9844706310000007</v>
      </c>
      <c r="H33" s="63">
        <v>8.0658253999999996</v>
      </c>
      <c r="I33" s="63">
        <v>402.60196905800001</v>
      </c>
    </row>
    <row r="34" spans="3:9" ht="21.6" customHeight="1" x14ac:dyDescent="0.3">
      <c r="C34" s="112"/>
      <c r="D34" s="53">
        <v>42094</v>
      </c>
      <c r="E34" s="63">
        <v>-10.356459112</v>
      </c>
      <c r="F34" s="63">
        <v>-84.649776453000001</v>
      </c>
      <c r="G34" s="63">
        <v>-6.0525334329999998</v>
      </c>
      <c r="H34" s="63">
        <v>-4.0613492549999997</v>
      </c>
      <c r="I34" s="63">
        <v>743.81520119200002</v>
      </c>
    </row>
    <row r="35" spans="3:9" ht="21.6" customHeight="1" x14ac:dyDescent="0.3">
      <c r="C35" s="116" t="s">
        <v>26</v>
      </c>
      <c r="D35" s="54">
        <v>45382</v>
      </c>
      <c r="E35" s="64">
        <v>19.550550135000002</v>
      </c>
      <c r="F35" s="64">
        <v>36.097934934000001</v>
      </c>
      <c r="G35" s="64">
        <v>13.981368073000001</v>
      </c>
      <c r="H35" s="64">
        <v>12.225557809</v>
      </c>
      <c r="I35" s="64">
        <v>90.340664079000007</v>
      </c>
    </row>
    <row r="36" spans="3:9" ht="21.6" customHeight="1" x14ac:dyDescent="0.3">
      <c r="C36" s="116"/>
      <c r="D36" s="54">
        <v>45016</v>
      </c>
      <c r="E36" s="64">
        <v>20.158452931999999</v>
      </c>
      <c r="F36" s="64">
        <v>40.161371658999997</v>
      </c>
      <c r="G36" s="64">
        <v>13.188924218</v>
      </c>
      <c r="H36" s="64">
        <v>9.8014842529999999</v>
      </c>
      <c r="I36" s="64">
        <v>112.55168936</v>
      </c>
    </row>
    <row r="37" spans="3:9" ht="21.6" customHeight="1" x14ac:dyDescent="0.3">
      <c r="C37" s="116"/>
      <c r="D37" s="54">
        <v>44651</v>
      </c>
      <c r="E37" s="64">
        <v>2.0624273789999998</v>
      </c>
      <c r="F37" s="64">
        <v>5.8979006189999996</v>
      </c>
      <c r="G37" s="64">
        <v>1.221381209</v>
      </c>
      <c r="H37" s="64">
        <v>1.0044628499999999</v>
      </c>
      <c r="I37" s="64">
        <v>191.02854553700001</v>
      </c>
    </row>
    <row r="38" spans="3:9" ht="21.6" customHeight="1" x14ac:dyDescent="0.3">
      <c r="C38" s="116"/>
      <c r="D38" s="54">
        <v>44286</v>
      </c>
      <c r="E38" s="64">
        <v>3.3829876099999998</v>
      </c>
      <c r="F38" s="64">
        <v>9.2975206610000001</v>
      </c>
      <c r="G38" s="64">
        <v>2.0860517820000002</v>
      </c>
      <c r="H38" s="64">
        <v>2.3879716979999999</v>
      </c>
      <c r="I38" s="64">
        <v>179.09397000300001</v>
      </c>
    </row>
    <row r="39" spans="3:9" ht="21.6" customHeight="1" x14ac:dyDescent="0.3">
      <c r="C39" s="116"/>
      <c r="D39" s="54">
        <v>43921</v>
      </c>
      <c r="E39" s="64">
        <v>-8.1354639679999998</v>
      </c>
      <c r="F39" s="64">
        <v>-17.522771389999999</v>
      </c>
      <c r="G39" s="64">
        <v>-5.5975577760000004</v>
      </c>
      <c r="H39" s="64">
        <v>-5.5292482390000002</v>
      </c>
      <c r="I39" s="64">
        <v>115.91010900400001</v>
      </c>
    </row>
    <row r="40" spans="3:9" ht="21.6" customHeight="1" x14ac:dyDescent="0.3">
      <c r="C40" s="116"/>
      <c r="D40" s="54">
        <v>43555</v>
      </c>
      <c r="E40" s="64">
        <v>-8.2766775000000001E-2</v>
      </c>
      <c r="F40" s="64">
        <v>-0.16320820699999999</v>
      </c>
      <c r="G40" s="64">
        <v>-5.9793286000000001E-2</v>
      </c>
      <c r="H40" s="64">
        <v>-5.9405100000000002E-2</v>
      </c>
      <c r="I40" s="64">
        <v>97.557705759000001</v>
      </c>
    </row>
    <row r="41" spans="3:9" ht="21.6" customHeight="1" x14ac:dyDescent="0.3">
      <c r="C41" s="116"/>
      <c r="D41" s="54">
        <v>43190</v>
      </c>
      <c r="E41" s="64">
        <v>0.49148799799999998</v>
      </c>
      <c r="F41" s="64">
        <v>0.77922077899999997</v>
      </c>
      <c r="G41" s="64">
        <v>0.30461558799999999</v>
      </c>
      <c r="H41" s="64">
        <v>0.32631827899999999</v>
      </c>
      <c r="I41" s="64">
        <v>58.548842462000003</v>
      </c>
    </row>
    <row r="42" spans="3:9" ht="21.6" customHeight="1" x14ac:dyDescent="0.3">
      <c r="C42" s="116"/>
      <c r="D42" s="54">
        <v>42825</v>
      </c>
      <c r="E42" s="64">
        <v>-6.9056504199999997</v>
      </c>
      <c r="F42" s="64">
        <v>-10.650543573</v>
      </c>
      <c r="G42" s="64">
        <v>-5.2080964290000002</v>
      </c>
      <c r="H42" s="64">
        <v>-4.9712362969999999</v>
      </c>
      <c r="I42" s="64">
        <v>55.310737748000001</v>
      </c>
    </row>
    <row r="43" spans="3:9" ht="21.6" customHeight="1" x14ac:dyDescent="0.3">
      <c r="C43" s="116"/>
      <c r="D43" s="54">
        <v>42460</v>
      </c>
      <c r="E43" s="64">
        <v>7.0797413789999997</v>
      </c>
      <c r="F43" s="64">
        <v>9.6371992960000004</v>
      </c>
      <c r="G43" s="64">
        <v>5.3721823979999996</v>
      </c>
      <c r="H43" s="64">
        <v>6.6818089360000004</v>
      </c>
      <c r="I43" s="64">
        <v>37.878936045000003</v>
      </c>
    </row>
    <row r="44" spans="3:9" ht="21.6" customHeight="1" thickBot="1" x14ac:dyDescent="0.35">
      <c r="C44" s="117"/>
      <c r="D44" s="58">
        <v>42094</v>
      </c>
      <c r="E44" s="65">
        <v>2.3843200649999998</v>
      </c>
      <c r="F44" s="65">
        <v>3.681977034</v>
      </c>
      <c r="G44" s="65">
        <v>1.822619011</v>
      </c>
      <c r="H44" s="65">
        <v>1.9249592170000001</v>
      </c>
      <c r="I44" s="65">
        <v>54.443334997999997</v>
      </c>
    </row>
    <row r="45" spans="3:9" ht="16.2" thickTop="1" x14ac:dyDescent="0.3">
      <c r="C45" s="33" t="s">
        <v>36</v>
      </c>
      <c r="D45" s="33"/>
      <c r="E45" s="33"/>
      <c r="F45" s="33"/>
      <c r="G45" s="33"/>
    </row>
  </sheetData>
  <mergeCells count="4">
    <mergeCell ref="C25:C34"/>
    <mergeCell ref="C15:C24"/>
    <mergeCell ref="C5:C14"/>
    <mergeCell ref="C35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Investment Apprisal</vt:lpstr>
      <vt:lpstr>Normal Distribution </vt:lpstr>
      <vt:lpstr>Data</vt:lpstr>
      <vt:lpstr>Cleaned Data</vt:lpstr>
      <vt:lpstr>'Investment Apprisal'!Print_Area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Lajeevan Jeyam</dc:creator>
  <cp:lastModifiedBy>Sai Varaprasad Puppala</cp:lastModifiedBy>
  <cp:lastPrinted>2025-06-23T12:11:49Z</cp:lastPrinted>
  <dcterms:created xsi:type="dcterms:W3CDTF">2025-06-23T11:20:16Z</dcterms:created>
  <dcterms:modified xsi:type="dcterms:W3CDTF">2026-02-17T22:59:26Z</dcterms:modified>
</cp:coreProperties>
</file>